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xl/webextensions/webextension2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1"/>
  <workbookPr/>
  <mc:AlternateContent xmlns:mc="http://schemas.openxmlformats.org/markup-compatibility/2006">
    <mc:Choice Requires="x15">
      <x15ac:absPath xmlns:x15ac="http://schemas.microsoft.com/office/spreadsheetml/2010/11/ac" url="/Users/sarahadam/Documents/Projects/Solar Project Finance/solar-project-finance/excel/"/>
    </mc:Choice>
  </mc:AlternateContent>
  <xr:revisionPtr revIDLastSave="0" documentId="13_ncr:1_{AC18BA45-D4DC-ED44-8B9E-5B40C4FB50C7}" xr6:coauthVersionLast="47" xr6:coauthVersionMax="47" xr10:uidLastSave="{00000000-0000-0000-0000-000000000000}"/>
  <bookViews>
    <workbookView xWindow="4420" yWindow="660" windowWidth="24980" windowHeight="17060" activeTab="7" xr2:uid="{00000000-000D-0000-FFFF-FFFF00000000}"/>
  </bookViews>
  <sheets>
    <sheet name="README" sheetId="1" r:id="rId1"/>
    <sheet name="Inputs" sheetId="2" r:id="rId2"/>
    <sheet name="Timeline" sheetId="3" r:id="rId3"/>
    <sheet name="Operations" sheetId="4" r:id="rId4"/>
    <sheet name="Debt" sheetId="5" r:id="rId5"/>
    <sheet name="Tax" sheetId="6" r:id="rId6"/>
    <sheet name="CashFlow" sheetId="7" r:id="rId7"/>
    <sheet name="Outputs" sheetId="8" r:id="rId8"/>
    <sheet name="Checks" sheetId="9" r:id="rId9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49" i="8" l="1"/>
  <c r="C39" i="8"/>
  <c r="B15" i="9"/>
  <c r="B5" i="9" s="1"/>
  <c r="B12" i="9" a="1"/>
  <c r="B12" i="9" s="1"/>
  <c r="B11" i="9" a="1"/>
  <c r="B11" i="9" s="1"/>
  <c r="F18" i="2"/>
  <c r="F55" i="8"/>
  <c r="F54" i="8"/>
  <c r="F53" i="8"/>
  <c r="F52" i="8"/>
  <c r="F51" i="8"/>
  <c r="F50" i="8"/>
  <c r="F49" i="8"/>
  <c r="F48" i="8"/>
  <c r="F45" i="8"/>
  <c r="F44" i="8"/>
  <c r="F43" i="8"/>
  <c r="F42" i="8"/>
  <c r="F41" i="8"/>
  <c r="F40" i="8"/>
  <c r="F39" i="8"/>
  <c r="F38" i="8"/>
  <c r="I55" i="8"/>
  <c r="I54" i="8"/>
  <c r="I53" i="8"/>
  <c r="I52" i="8"/>
  <c r="I51" i="8"/>
  <c r="I50" i="8"/>
  <c r="I49" i="8"/>
  <c r="I48" i="8"/>
  <c r="I45" i="8"/>
  <c r="I44" i="8"/>
  <c r="I43" i="8"/>
  <c r="I42" i="8"/>
  <c r="I41" i="8"/>
  <c r="I40" i="8"/>
  <c r="I39" i="8"/>
  <c r="I38" i="8"/>
  <c r="F11" i="2"/>
  <c r="F9" i="2"/>
  <c r="F23" i="2"/>
  <c r="F25" i="2"/>
  <c r="F10" i="2"/>
  <c r="F34" i="2"/>
  <c r="F17" i="2"/>
  <c r="C40" i="8"/>
  <c r="B40" i="8"/>
  <c r="B50" i="8"/>
  <c r="C50" i="8"/>
  <c r="C55" i="8"/>
  <c r="B55" i="8"/>
  <c r="C54" i="8"/>
  <c r="B54" i="8"/>
  <c r="C53" i="8"/>
  <c r="B53" i="8"/>
  <c r="C52" i="8"/>
  <c r="B52" i="8"/>
  <c r="C51" i="8"/>
  <c r="B51" i="8"/>
  <c r="B49" i="8"/>
  <c r="C48" i="8"/>
  <c r="B48" i="8"/>
  <c r="C45" i="8"/>
  <c r="B45" i="8"/>
  <c r="C44" i="8"/>
  <c r="B44" i="8"/>
  <c r="C43" i="8"/>
  <c r="B43" i="8"/>
  <c r="C42" i="8"/>
  <c r="B42" i="8"/>
  <c r="C41" i="8"/>
  <c r="B41" i="8"/>
  <c r="B39" i="8"/>
  <c r="C38" i="8"/>
  <c r="B38" i="8"/>
  <c r="C6" i="8"/>
  <c r="F40" i="2" l="1"/>
  <c r="F39" i="2"/>
  <c r="F37" i="2"/>
  <c r="F36" i="2"/>
  <c r="F35" i="2"/>
  <c r="C11" i="3"/>
  <c r="F32" i="2"/>
  <c r="F31" i="2"/>
  <c r="F30" i="2"/>
  <c r="F29" i="2"/>
  <c r="F28" i="2"/>
  <c r="F27" i="2"/>
  <c r="F24" i="2"/>
  <c r="C10" i="3" s="1"/>
  <c r="F21" i="2"/>
  <c r="C9" i="3" s="1"/>
  <c r="F20" i="2"/>
  <c r="F15" i="2"/>
  <c r="F14" i="2"/>
  <c r="B6" i="9" s="1"/>
  <c r="F13" i="2"/>
  <c r="F8" i="2"/>
  <c r="C6" i="5" l="1"/>
  <c r="C9" i="4"/>
  <c r="AM9" i="4" s="1"/>
  <c r="C9" i="8"/>
  <c r="C11" i="4"/>
  <c r="K9" i="4"/>
  <c r="AB9" i="4"/>
  <c r="AR11" i="3"/>
  <c r="AH11" i="3"/>
  <c r="X11" i="3"/>
  <c r="N11" i="3"/>
  <c r="AQ11" i="3"/>
  <c r="AG11" i="3"/>
  <c r="W11" i="3"/>
  <c r="M11" i="3"/>
  <c r="AP11" i="3"/>
  <c r="AF11" i="3"/>
  <c r="V11" i="3"/>
  <c r="L11" i="3"/>
  <c r="AO11" i="3"/>
  <c r="AE11" i="3"/>
  <c r="U11" i="3"/>
  <c r="K11" i="3"/>
  <c r="AN11" i="3"/>
  <c r="AD11" i="3"/>
  <c r="T11" i="3"/>
  <c r="J11" i="3"/>
  <c r="AW11" i="3"/>
  <c r="AM11" i="3"/>
  <c r="AC11" i="3"/>
  <c r="S11" i="3"/>
  <c r="I11" i="3"/>
  <c r="AV11" i="3"/>
  <c r="AL11" i="3"/>
  <c r="AB11" i="3"/>
  <c r="R11" i="3"/>
  <c r="H11" i="3"/>
  <c r="AU11" i="3"/>
  <c r="AK11" i="3"/>
  <c r="AA11" i="3"/>
  <c r="Q11" i="3"/>
  <c r="G11" i="3"/>
  <c r="AT11" i="3"/>
  <c r="AJ11" i="3"/>
  <c r="Z11" i="3"/>
  <c r="P11" i="3"/>
  <c r="F11" i="3"/>
  <c r="AS11" i="3"/>
  <c r="AI11" i="3"/>
  <c r="Y11" i="3"/>
  <c r="O11" i="3"/>
  <c r="E11" i="3"/>
  <c r="C6" i="4"/>
  <c r="C7" i="4" s="1"/>
  <c r="C7" i="5"/>
  <c r="C8" i="5" s="1"/>
  <c r="C7" i="3"/>
  <c r="AT9" i="3" l="1"/>
  <c r="AT10" i="3" s="1"/>
  <c r="AT13" i="5" s="1"/>
  <c r="AT7" i="7" s="1"/>
  <c r="AT8" i="7" s="1"/>
  <c r="E6" i="3"/>
  <c r="C10" i="4"/>
  <c r="C12" i="4" s="1"/>
  <c r="AE9" i="4"/>
  <c r="AO9" i="4"/>
  <c r="AD9" i="4"/>
  <c r="AN9" i="4"/>
  <c r="L9" i="4"/>
  <c r="AP9" i="4"/>
  <c r="W9" i="4"/>
  <c r="N9" i="4"/>
  <c r="X9" i="4"/>
  <c r="AR9" i="4"/>
  <c r="E9" i="4"/>
  <c r="AI9" i="4"/>
  <c r="P9" i="4"/>
  <c r="Z9" i="4"/>
  <c r="Q9" i="4"/>
  <c r="AU9" i="4"/>
  <c r="AK9" i="4"/>
  <c r="R9" i="4"/>
  <c r="M9" i="4"/>
  <c r="AT9" i="4"/>
  <c r="U9" i="4"/>
  <c r="Y9" i="4"/>
  <c r="AL9" i="4"/>
  <c r="V9" i="4"/>
  <c r="AS9" i="4"/>
  <c r="AV9" i="4"/>
  <c r="I9" i="4"/>
  <c r="AG9" i="4"/>
  <c r="AJ9" i="4"/>
  <c r="S9" i="4"/>
  <c r="AH9" i="4"/>
  <c r="G9" i="4"/>
  <c r="AC9" i="4"/>
  <c r="AF9" i="4"/>
  <c r="O9" i="4"/>
  <c r="AA9" i="4"/>
  <c r="J9" i="4"/>
  <c r="AW9" i="4"/>
  <c r="AQ9" i="4"/>
  <c r="F9" i="4"/>
  <c r="H9" i="4"/>
  <c r="T9" i="4"/>
  <c r="AR9" i="3"/>
  <c r="AR10" i="3" s="1"/>
  <c r="AR13" i="5" s="1"/>
  <c r="AR7" i="7" s="1"/>
  <c r="AR8" i="7" s="1"/>
  <c r="AV9" i="3"/>
  <c r="AV10" i="3" s="1"/>
  <c r="AV13" i="5" s="1"/>
  <c r="AV7" i="7" s="1"/>
  <c r="AV8" i="7" s="1"/>
  <c r="AW9" i="3"/>
  <c r="AW10" i="3" s="1"/>
  <c r="AW13" i="5" s="1"/>
  <c r="AW7" i="7" s="1"/>
  <c r="AW8" i="7" s="1"/>
  <c r="AS9" i="3"/>
  <c r="AS10" i="3" s="1"/>
  <c r="AS13" i="5" s="1"/>
  <c r="AS7" i="7" s="1"/>
  <c r="AS8" i="7" s="1"/>
  <c r="AU9" i="3"/>
  <c r="AU10" i="3" s="1"/>
  <c r="AU13" i="5" s="1"/>
  <c r="AU7" i="7" s="1"/>
  <c r="AU8" i="7" s="1"/>
  <c r="AT7" i="3"/>
  <c r="AJ7" i="3"/>
  <c r="Z7" i="3"/>
  <c r="P7" i="3"/>
  <c r="AS7" i="3"/>
  <c r="AI7" i="3"/>
  <c r="Y7" i="3"/>
  <c r="O7" i="3"/>
  <c r="AR7" i="3"/>
  <c r="AH7" i="3"/>
  <c r="X7" i="3"/>
  <c r="N7" i="3"/>
  <c r="AQ7" i="3"/>
  <c r="AG7" i="3"/>
  <c r="W7" i="3"/>
  <c r="M7" i="3"/>
  <c r="AP7" i="3"/>
  <c r="AF7" i="3"/>
  <c r="V7" i="3"/>
  <c r="L7" i="3"/>
  <c r="AO7" i="3"/>
  <c r="AE7" i="3"/>
  <c r="U7" i="3"/>
  <c r="K7" i="3"/>
  <c r="AN7" i="3"/>
  <c r="AD7" i="3"/>
  <c r="T7" i="3"/>
  <c r="J7" i="3"/>
  <c r="AW7" i="3"/>
  <c r="AM7" i="3"/>
  <c r="AC7" i="3"/>
  <c r="S7" i="3"/>
  <c r="I7" i="3"/>
  <c r="AV7" i="3"/>
  <c r="AL7" i="3"/>
  <c r="AB7" i="3"/>
  <c r="R7" i="3"/>
  <c r="H7" i="3"/>
  <c r="AU7" i="3"/>
  <c r="AK7" i="3"/>
  <c r="AA7" i="3"/>
  <c r="Q7" i="3"/>
  <c r="G7" i="3"/>
  <c r="AQ9" i="3"/>
  <c r="AQ10" i="3" s="1"/>
  <c r="AQ13" i="5" s="1"/>
  <c r="AQ7" i="7" s="1"/>
  <c r="AQ8" i="7" s="1"/>
  <c r="AP9" i="3"/>
  <c r="AP10" i="3" s="1"/>
  <c r="AP13" i="5" s="1"/>
  <c r="AP7" i="7" s="1"/>
  <c r="AP8" i="7" s="1"/>
  <c r="AR6" i="3"/>
  <c r="AH6" i="3"/>
  <c r="X6" i="3"/>
  <c r="N6" i="3"/>
  <c r="AN6" i="3"/>
  <c r="T6" i="3"/>
  <c r="AW6" i="3"/>
  <c r="AM6" i="3"/>
  <c r="AC6" i="3"/>
  <c r="S6" i="3"/>
  <c r="I6" i="3"/>
  <c r="AL6" i="3"/>
  <c r="R6" i="3"/>
  <c r="AQ6" i="3"/>
  <c r="AG6" i="3"/>
  <c r="W6" i="3"/>
  <c r="M6" i="3"/>
  <c r="AD6" i="3"/>
  <c r="J6" i="3"/>
  <c r="AP6" i="3"/>
  <c r="AF6" i="3"/>
  <c r="V6" i="3"/>
  <c r="L6" i="3"/>
  <c r="AV6" i="3"/>
  <c r="AB6" i="3"/>
  <c r="H6" i="3"/>
  <c r="AU6" i="3"/>
  <c r="AK6" i="3"/>
  <c r="AA6" i="3"/>
  <c r="G6" i="3"/>
  <c r="AT6" i="3"/>
  <c r="Z6" i="3"/>
  <c r="AI6" i="3"/>
  <c r="AO6" i="3"/>
  <c r="AE6" i="3"/>
  <c r="U6" i="3"/>
  <c r="K6" i="3"/>
  <c r="Q6" i="3"/>
  <c r="P6" i="3"/>
  <c r="AS6" i="3"/>
  <c r="Y6" i="3"/>
  <c r="O6" i="3"/>
  <c r="AJ6" i="3"/>
  <c r="F6" i="3"/>
  <c r="E6" i="5"/>
  <c r="E7" i="3" l="1"/>
  <c r="E9" i="5"/>
  <c r="E7" i="5"/>
  <c r="E13" i="7"/>
  <c r="H8" i="3"/>
  <c r="H11" i="4" s="1"/>
  <c r="H14" i="7" s="1"/>
  <c r="H6" i="5"/>
  <c r="H13" i="7" s="1"/>
  <c r="Q8" i="3"/>
  <c r="Q11" i="4" s="1"/>
  <c r="Q14" i="7" s="1"/>
  <c r="Q6" i="5"/>
  <c r="Q13" i="7" s="1"/>
  <c r="AK8" i="3"/>
  <c r="AK11" i="4" s="1"/>
  <c r="AK14" i="7" s="1"/>
  <c r="AK6" i="5"/>
  <c r="AK13" i="7" s="1"/>
  <c r="AD8" i="3"/>
  <c r="AD11" i="4" s="1"/>
  <c r="AD14" i="7" s="1"/>
  <c r="AD6" i="5"/>
  <c r="AD13" i="7" s="1"/>
  <c r="AM8" i="3"/>
  <c r="AM11" i="4" s="1"/>
  <c r="AM14" i="7" s="1"/>
  <c r="AM6" i="5"/>
  <c r="AM13" i="7" s="1"/>
  <c r="K8" i="3"/>
  <c r="K11" i="4" s="1"/>
  <c r="K14" i="7" s="1"/>
  <c r="K6" i="5"/>
  <c r="K13" i="7" s="1"/>
  <c r="AU8" i="3"/>
  <c r="AU6" i="5"/>
  <c r="AU13" i="7" s="1"/>
  <c r="M8" i="3"/>
  <c r="M11" i="4" s="1"/>
  <c r="M14" i="7" s="1"/>
  <c r="M6" i="5"/>
  <c r="M13" i="7" s="1"/>
  <c r="AW8" i="3"/>
  <c r="AW6" i="5"/>
  <c r="AW13" i="7" s="1"/>
  <c r="F7" i="3"/>
  <c r="U8" i="3"/>
  <c r="U11" i="4" s="1"/>
  <c r="U14" i="7" s="1"/>
  <c r="U6" i="5"/>
  <c r="U13" i="7" s="1"/>
  <c r="T8" i="3"/>
  <c r="T11" i="4" s="1"/>
  <c r="T14" i="7" s="1"/>
  <c r="T6" i="5"/>
  <c r="T13" i="7" s="1"/>
  <c r="E8" i="5"/>
  <c r="AB8" i="3"/>
  <c r="AB11" i="4" s="1"/>
  <c r="AB14" i="7" s="1"/>
  <c r="AB6" i="5"/>
  <c r="AB13" i="7" s="1"/>
  <c r="AN8" i="3"/>
  <c r="AN11" i="4" s="1"/>
  <c r="AN14" i="7" s="1"/>
  <c r="AN6" i="5"/>
  <c r="AN13" i="7" s="1"/>
  <c r="N8" i="3"/>
  <c r="N11" i="4" s="1"/>
  <c r="N14" i="7" s="1"/>
  <c r="N6" i="5"/>
  <c r="N13" i="7" s="1"/>
  <c r="W8" i="3"/>
  <c r="W11" i="4" s="1"/>
  <c r="W14" i="7" s="1"/>
  <c r="W6" i="5"/>
  <c r="W13" i="7" s="1"/>
  <c r="AE8" i="3"/>
  <c r="AE11" i="4" s="1"/>
  <c r="AE14" i="7" s="1"/>
  <c r="AE6" i="5"/>
  <c r="AE13" i="7" s="1"/>
  <c r="F8" i="3"/>
  <c r="F11" i="4" s="1"/>
  <c r="F14" i="7" s="1"/>
  <c r="F6" i="5"/>
  <c r="F13" i="7" s="1"/>
  <c r="AG8" i="3"/>
  <c r="AG11" i="4" s="1"/>
  <c r="AG14" i="7" s="1"/>
  <c r="AG6" i="5"/>
  <c r="AG13" i="7" s="1"/>
  <c r="AO8" i="3"/>
  <c r="AO11" i="4" s="1"/>
  <c r="AO14" i="7" s="1"/>
  <c r="AO6" i="5"/>
  <c r="AO13" i="7" s="1"/>
  <c r="AV8" i="3"/>
  <c r="AV6" i="5"/>
  <c r="AV13" i="7" s="1"/>
  <c r="AQ8" i="3"/>
  <c r="AQ6" i="5"/>
  <c r="AQ13" i="7" s="1"/>
  <c r="AJ8" i="3"/>
  <c r="AJ11" i="4" s="1"/>
  <c r="AJ14" i="7" s="1"/>
  <c r="AJ6" i="5"/>
  <c r="AJ13" i="7" s="1"/>
  <c r="AI8" i="3"/>
  <c r="AI11" i="4" s="1"/>
  <c r="AI14" i="7" s="1"/>
  <c r="AI6" i="5"/>
  <c r="AI13" i="7" s="1"/>
  <c r="L8" i="3"/>
  <c r="L11" i="4" s="1"/>
  <c r="L14" i="7" s="1"/>
  <c r="L6" i="5"/>
  <c r="L13" i="7" s="1"/>
  <c r="R8" i="3"/>
  <c r="R11" i="4" s="1"/>
  <c r="R14" i="7" s="1"/>
  <c r="R6" i="5"/>
  <c r="R13" i="7" s="1"/>
  <c r="X8" i="3"/>
  <c r="X11" i="4" s="1"/>
  <c r="X14" i="7" s="1"/>
  <c r="X6" i="5"/>
  <c r="X13" i="7" s="1"/>
  <c r="O8" i="3"/>
  <c r="O11" i="4" s="1"/>
  <c r="O14" i="7" s="1"/>
  <c r="O6" i="5"/>
  <c r="O13" i="7" s="1"/>
  <c r="Z8" i="3"/>
  <c r="Z11" i="4" s="1"/>
  <c r="Z14" i="7" s="1"/>
  <c r="Z6" i="5"/>
  <c r="Z13" i="7" s="1"/>
  <c r="V8" i="3"/>
  <c r="V11" i="4" s="1"/>
  <c r="V14" i="7" s="1"/>
  <c r="V6" i="5"/>
  <c r="V13" i="7" s="1"/>
  <c r="AH8" i="3"/>
  <c r="AH11" i="4" s="1"/>
  <c r="AH14" i="7" s="1"/>
  <c r="AH6" i="5"/>
  <c r="AH13" i="7" s="1"/>
  <c r="Y8" i="3"/>
  <c r="Y11" i="4" s="1"/>
  <c r="Y14" i="7" s="1"/>
  <c r="Y6" i="5"/>
  <c r="Y13" i="7" s="1"/>
  <c r="AT8" i="3"/>
  <c r="AT6" i="5"/>
  <c r="AT13" i="7" s="1"/>
  <c r="AF8" i="3"/>
  <c r="AF11" i="4" s="1"/>
  <c r="AF14" i="7" s="1"/>
  <c r="AF6" i="5"/>
  <c r="AF13" i="7" s="1"/>
  <c r="I8" i="3"/>
  <c r="I11" i="4" s="1"/>
  <c r="I14" i="7" s="1"/>
  <c r="I6" i="5"/>
  <c r="I13" i="7" s="1"/>
  <c r="AR8" i="3"/>
  <c r="AR6" i="5"/>
  <c r="AR13" i="7" s="1"/>
  <c r="AL8" i="3"/>
  <c r="AL11" i="4" s="1"/>
  <c r="AL14" i="7" s="1"/>
  <c r="AL6" i="5"/>
  <c r="AL13" i="7" s="1"/>
  <c r="AS8" i="3"/>
  <c r="AS11" i="4" s="1"/>
  <c r="AS14" i="7" s="1"/>
  <c r="AS6" i="5"/>
  <c r="AS13" i="7" s="1"/>
  <c r="G8" i="3"/>
  <c r="G11" i="4" s="1"/>
  <c r="G14" i="7" s="1"/>
  <c r="G6" i="5"/>
  <c r="G13" i="7" s="1"/>
  <c r="AP8" i="3"/>
  <c r="AP11" i="4" s="1"/>
  <c r="AP14" i="7" s="1"/>
  <c r="AP6" i="5"/>
  <c r="AP13" i="7" s="1"/>
  <c r="S8" i="3"/>
  <c r="S11" i="4" s="1"/>
  <c r="S14" i="7" s="1"/>
  <c r="S6" i="5"/>
  <c r="S13" i="7" s="1"/>
  <c r="P8" i="3"/>
  <c r="P11" i="4" s="1"/>
  <c r="P14" i="7" s="1"/>
  <c r="P6" i="5"/>
  <c r="P13" i="7" s="1"/>
  <c r="AA8" i="3"/>
  <c r="AA11" i="4" s="1"/>
  <c r="AA14" i="7" s="1"/>
  <c r="AA6" i="5"/>
  <c r="AA13" i="7" s="1"/>
  <c r="J8" i="3"/>
  <c r="J11" i="4" s="1"/>
  <c r="J14" i="7" s="1"/>
  <c r="J6" i="5"/>
  <c r="J13" i="7" s="1"/>
  <c r="AC8" i="3"/>
  <c r="AC11" i="4" s="1"/>
  <c r="AC14" i="7" s="1"/>
  <c r="AC6" i="5"/>
  <c r="AC13" i="7" s="1"/>
  <c r="E8" i="3"/>
  <c r="E9" i="3" s="1"/>
  <c r="C6" i="3"/>
  <c r="B7" i="9" l="1"/>
  <c r="C13" i="7"/>
  <c r="C17" i="8"/>
  <c r="AP7" i="4"/>
  <c r="AS7" i="4"/>
  <c r="AN7" i="5"/>
  <c r="AN8" i="5" s="1"/>
  <c r="AM7" i="5"/>
  <c r="AM8" i="5" s="1"/>
  <c r="Z7" i="5"/>
  <c r="AI7" i="5"/>
  <c r="AI8" i="5" s="1"/>
  <c r="AG7" i="5"/>
  <c r="AG8" i="5" s="1"/>
  <c r="AA7" i="5"/>
  <c r="AA8" i="5" s="1"/>
  <c r="AS7" i="5"/>
  <c r="AT7" i="5"/>
  <c r="AT8" i="5" s="1"/>
  <c r="AR7" i="5"/>
  <c r="AR8" i="5" s="1"/>
  <c r="AT11" i="4"/>
  <c r="AT14" i="7" s="1"/>
  <c r="AT7" i="4"/>
  <c r="O7" i="5"/>
  <c r="AJ7" i="5"/>
  <c r="F7" i="5"/>
  <c r="F8" i="5" s="1"/>
  <c r="AB7" i="5"/>
  <c r="AB8" i="5" s="1"/>
  <c r="AW7" i="5"/>
  <c r="AD7" i="5"/>
  <c r="AD8" i="5" s="1"/>
  <c r="AH7" i="5"/>
  <c r="R7" i="5"/>
  <c r="R8" i="5" s="1"/>
  <c r="AC7" i="5"/>
  <c r="AC8" i="5" s="1"/>
  <c r="AP7" i="5"/>
  <c r="AP8" i="5" s="1"/>
  <c r="I7" i="5"/>
  <c r="I8" i="5" s="1"/>
  <c r="Y7" i="5"/>
  <c r="AW11" i="4"/>
  <c r="AW14" i="7" s="1"/>
  <c r="AW7" i="4"/>
  <c r="AQ11" i="4"/>
  <c r="AQ14" i="7" s="1"/>
  <c r="AQ7" i="4"/>
  <c r="AR11" i="4"/>
  <c r="AR14" i="7" s="1"/>
  <c r="AR7" i="4"/>
  <c r="AV7" i="5"/>
  <c r="AV8" i="5" s="1"/>
  <c r="V7" i="5"/>
  <c r="V8" i="5" s="1"/>
  <c r="L7" i="5"/>
  <c r="L8" i="5" s="1"/>
  <c r="AO7" i="5"/>
  <c r="AO8" i="5" s="1"/>
  <c r="J7" i="5"/>
  <c r="G7" i="5"/>
  <c r="G8" i="5" s="1"/>
  <c r="AF7" i="5"/>
  <c r="AF8" i="5" s="1"/>
  <c r="P7" i="5"/>
  <c r="P8" i="5" s="1"/>
  <c r="AL7" i="5"/>
  <c r="AL8" i="5" s="1"/>
  <c r="X7" i="5"/>
  <c r="AQ7" i="5"/>
  <c r="AQ8" i="5" s="1"/>
  <c r="AE7" i="5"/>
  <c r="AE8" i="5" s="1"/>
  <c r="E12" i="5"/>
  <c r="M7" i="5"/>
  <c r="M8" i="5" s="1"/>
  <c r="AK7" i="5"/>
  <c r="AK8" i="5" s="1"/>
  <c r="W7" i="5"/>
  <c r="W8" i="5" s="1"/>
  <c r="AU7" i="5"/>
  <c r="AU8" i="5" s="1"/>
  <c r="Q7" i="5"/>
  <c r="Q8" i="5" s="1"/>
  <c r="AV11" i="4"/>
  <c r="AV14" i="7" s="1"/>
  <c r="AV7" i="4"/>
  <c r="T7" i="5"/>
  <c r="AU11" i="4"/>
  <c r="AU14" i="7" s="1"/>
  <c r="AU7" i="4"/>
  <c r="C8" i="3"/>
  <c r="E14" i="5"/>
  <c r="E11" i="4"/>
  <c r="E14" i="7" s="1"/>
  <c r="S7" i="5"/>
  <c r="N7" i="5"/>
  <c r="K7" i="5"/>
  <c r="K8" i="5" s="1"/>
  <c r="H7" i="5"/>
  <c r="H8" i="5" s="1"/>
  <c r="U7" i="5"/>
  <c r="U8" i="5" s="1"/>
  <c r="F9" i="5" l="1"/>
  <c r="AS10" i="4"/>
  <c r="AS12" i="4" s="1"/>
  <c r="AS15" i="7"/>
  <c r="AT10" i="4"/>
  <c r="AT15" i="7"/>
  <c r="AQ10" i="4"/>
  <c r="AQ12" i="4" s="1"/>
  <c r="AQ15" i="7"/>
  <c r="AP10" i="4"/>
  <c r="AP12" i="4" s="1"/>
  <c r="AP15" i="7"/>
  <c r="AR10" i="4"/>
  <c r="AR12" i="4" s="1"/>
  <c r="AR15" i="7"/>
  <c r="AW10" i="4"/>
  <c r="AW12" i="4" s="1"/>
  <c r="AW15" i="7"/>
  <c r="AV10" i="4"/>
  <c r="AV12" i="4" s="1"/>
  <c r="AV15" i="7"/>
  <c r="AU10" i="4"/>
  <c r="AU12" i="4" s="1"/>
  <c r="AU15" i="7"/>
  <c r="C14" i="7"/>
  <c r="S8" i="5"/>
  <c r="AH8" i="5"/>
  <c r="Y8" i="5"/>
  <c r="Z8" i="5"/>
  <c r="O8" i="5"/>
  <c r="E10" i="3"/>
  <c r="E13" i="5" s="1"/>
  <c r="F9" i="3"/>
  <c r="E7" i="4"/>
  <c r="AJ8" i="5"/>
  <c r="AS8" i="5"/>
  <c r="N8" i="5"/>
  <c r="T8" i="5"/>
  <c r="X8" i="5"/>
  <c r="J8" i="5"/>
  <c r="AW8" i="5"/>
  <c r="AT12" i="4"/>
  <c r="C20" i="8" l="1"/>
  <c r="E10" i="4"/>
  <c r="E12" i="4" s="1"/>
  <c r="E15" i="7"/>
  <c r="E15" i="5"/>
  <c r="E16" i="5" s="1"/>
  <c r="F11" i="5" s="1"/>
  <c r="E7" i="7"/>
  <c r="G9" i="3"/>
  <c r="F10" i="3"/>
  <c r="F13" i="5" s="1"/>
  <c r="F7" i="4"/>
  <c r="F14" i="5" l="1"/>
  <c r="F15" i="5" s="1"/>
  <c r="F10" i="4"/>
  <c r="F12" i="4" s="1"/>
  <c r="F15" i="7"/>
  <c r="E8" i="7"/>
  <c r="F7" i="7"/>
  <c r="F8" i="7" s="1"/>
  <c r="H9" i="3"/>
  <c r="G10" i="3"/>
  <c r="G7" i="4"/>
  <c r="B10" i="9" s="1"/>
  <c r="F12" i="5" l="1"/>
  <c r="G9" i="5" s="1"/>
  <c r="G10" i="4"/>
  <c r="G12" i="4" s="1"/>
  <c r="C22" i="8"/>
  <c r="C23" i="8" s="1"/>
  <c r="G15" i="7"/>
  <c r="I9" i="3"/>
  <c r="H10" i="3"/>
  <c r="H7" i="4"/>
  <c r="F16" i="5" l="1"/>
  <c r="G11" i="5" s="1"/>
  <c r="H10" i="4"/>
  <c r="H12" i="4" s="1"/>
  <c r="H15" i="7"/>
  <c r="J9" i="3"/>
  <c r="I10" i="3"/>
  <c r="I7" i="4"/>
  <c r="G14" i="5" l="1"/>
  <c r="I10" i="4"/>
  <c r="I12" i="4" s="1"/>
  <c r="I15" i="7"/>
  <c r="K9" i="3"/>
  <c r="J10" i="3"/>
  <c r="J7" i="4"/>
  <c r="G12" i="5" l="1"/>
  <c r="J10" i="4"/>
  <c r="J12" i="4" s="1"/>
  <c r="J15" i="7"/>
  <c r="L9" i="3"/>
  <c r="K10" i="3"/>
  <c r="K7" i="4"/>
  <c r="H9" i="5" l="1"/>
  <c r="K10" i="4"/>
  <c r="K12" i="4" s="1"/>
  <c r="K15" i="7"/>
  <c r="M9" i="3"/>
  <c r="L10" i="3"/>
  <c r="L7" i="4"/>
  <c r="L10" i="4" l="1"/>
  <c r="L12" i="4" s="1"/>
  <c r="L15" i="7"/>
  <c r="N9" i="3"/>
  <c r="M10" i="3"/>
  <c r="M7" i="4"/>
  <c r="M10" i="4" l="1"/>
  <c r="M12" i="4" s="1"/>
  <c r="M15" i="7"/>
  <c r="O9" i="3"/>
  <c r="N10" i="3"/>
  <c r="N7" i="4"/>
  <c r="N10" i="4" l="1"/>
  <c r="N12" i="4" s="1"/>
  <c r="N15" i="7"/>
  <c r="P9" i="3"/>
  <c r="O10" i="3"/>
  <c r="O7" i="4"/>
  <c r="O10" i="4" l="1"/>
  <c r="O12" i="4" s="1"/>
  <c r="O15" i="7"/>
  <c r="Q9" i="3"/>
  <c r="P10" i="3"/>
  <c r="P7" i="4"/>
  <c r="P10" i="4" l="1"/>
  <c r="P12" i="4" s="1"/>
  <c r="P15" i="7"/>
  <c r="R9" i="3"/>
  <c r="Q10" i="3"/>
  <c r="Q7" i="4"/>
  <c r="Q10" i="4" l="1"/>
  <c r="Q12" i="4" s="1"/>
  <c r="Q15" i="7"/>
  <c r="S9" i="3"/>
  <c r="R10" i="3"/>
  <c r="R7" i="4"/>
  <c r="R10" i="4" l="1"/>
  <c r="R12" i="4" s="1"/>
  <c r="R15" i="7"/>
  <c r="T9" i="3"/>
  <c r="S10" i="3"/>
  <c r="S7" i="4"/>
  <c r="S10" i="4" l="1"/>
  <c r="S12" i="4" s="1"/>
  <c r="S15" i="7"/>
  <c r="U9" i="3"/>
  <c r="T10" i="3"/>
  <c r="T7" i="4"/>
  <c r="T10" i="4" l="1"/>
  <c r="T12" i="4" s="1"/>
  <c r="T15" i="7"/>
  <c r="V9" i="3"/>
  <c r="U10" i="3"/>
  <c r="U7" i="4"/>
  <c r="U10" i="4" l="1"/>
  <c r="U12" i="4" s="1"/>
  <c r="U15" i="7"/>
  <c r="W9" i="3"/>
  <c r="V10" i="3"/>
  <c r="V7" i="4"/>
  <c r="V10" i="4" l="1"/>
  <c r="V12" i="4" s="1"/>
  <c r="V15" i="7"/>
  <c r="X9" i="3"/>
  <c r="W10" i="3"/>
  <c r="W7" i="4"/>
  <c r="W10" i="4" l="1"/>
  <c r="W12" i="4" s="1"/>
  <c r="W15" i="7"/>
  <c r="Y9" i="3"/>
  <c r="X10" i="3"/>
  <c r="X7" i="4"/>
  <c r="X10" i="4" l="1"/>
  <c r="X12" i="4" s="1"/>
  <c r="X15" i="7"/>
  <c r="Z9" i="3"/>
  <c r="Y10" i="3"/>
  <c r="Y7" i="4"/>
  <c r="Y10" i="4" l="1"/>
  <c r="Y12" i="4" s="1"/>
  <c r="Y15" i="7"/>
  <c r="AA9" i="3"/>
  <c r="Z10" i="3"/>
  <c r="Z7" i="4"/>
  <c r="Z10" i="4" l="1"/>
  <c r="Z12" i="4" s="1"/>
  <c r="Z15" i="7"/>
  <c r="AB9" i="3"/>
  <c r="AA10" i="3"/>
  <c r="AA7" i="4"/>
  <c r="AA10" i="4" l="1"/>
  <c r="AA12" i="4" s="1"/>
  <c r="AA15" i="7"/>
  <c r="AC9" i="3"/>
  <c r="AB10" i="3"/>
  <c r="AB7" i="4"/>
  <c r="AB10" i="4" l="1"/>
  <c r="AB12" i="4" s="1"/>
  <c r="AB15" i="7"/>
  <c r="AD9" i="3"/>
  <c r="AC10" i="3"/>
  <c r="AC7" i="4"/>
  <c r="AC10" i="4" l="1"/>
  <c r="AC12" i="4" s="1"/>
  <c r="AC15" i="7"/>
  <c r="AE9" i="3"/>
  <c r="AD10" i="3"/>
  <c r="AD7" i="4"/>
  <c r="AD10" i="4" l="1"/>
  <c r="AD12" i="4" s="1"/>
  <c r="AD15" i="7"/>
  <c r="AF9" i="3"/>
  <c r="AE10" i="3"/>
  <c r="AE7" i="4"/>
  <c r="AE10" i="4" l="1"/>
  <c r="AE12" i="4" s="1"/>
  <c r="AE15" i="7"/>
  <c r="AG9" i="3"/>
  <c r="AF10" i="3"/>
  <c r="AF7" i="4"/>
  <c r="AF10" i="4" l="1"/>
  <c r="AF12" i="4" s="1"/>
  <c r="AF15" i="7"/>
  <c r="AH9" i="3"/>
  <c r="AG10" i="3"/>
  <c r="AG7" i="4"/>
  <c r="AG10" i="4" l="1"/>
  <c r="AG12" i="4" s="1"/>
  <c r="AG15" i="7"/>
  <c r="AI9" i="3"/>
  <c r="AH10" i="3"/>
  <c r="AH7" i="4"/>
  <c r="AH10" i="4" l="1"/>
  <c r="AH12" i="4" s="1"/>
  <c r="AH15" i="7"/>
  <c r="AJ9" i="3"/>
  <c r="AI10" i="3"/>
  <c r="AI7" i="4"/>
  <c r="AI10" i="4" l="1"/>
  <c r="AI12" i="4" s="1"/>
  <c r="AI15" i="7"/>
  <c r="AK9" i="3"/>
  <c r="AJ10" i="3"/>
  <c r="AJ7" i="4"/>
  <c r="AJ10" i="4" l="1"/>
  <c r="AJ12" i="4" s="1"/>
  <c r="AJ15" i="7"/>
  <c r="AL9" i="3"/>
  <c r="AK10" i="3"/>
  <c r="AK13" i="5" s="1"/>
  <c r="AK7" i="7" s="1"/>
  <c r="AK8" i="7" s="1"/>
  <c r="AK7" i="4"/>
  <c r="AK10" i="4" l="1"/>
  <c r="AK12" i="4" s="1"/>
  <c r="AK15" i="7"/>
  <c r="AM9" i="3"/>
  <c r="AL10" i="3"/>
  <c r="AL13" i="5" s="1"/>
  <c r="AL7" i="7" s="1"/>
  <c r="AL8" i="7" s="1"/>
  <c r="AL7" i="4"/>
  <c r="AL10" i="4" l="1"/>
  <c r="AL12" i="4" s="1"/>
  <c r="AL15" i="7"/>
  <c r="AN9" i="3"/>
  <c r="AM10" i="3"/>
  <c r="AM13" i="5" s="1"/>
  <c r="AM7" i="7" s="1"/>
  <c r="AM8" i="7" s="1"/>
  <c r="AM7" i="4"/>
  <c r="AM10" i="4" l="1"/>
  <c r="AM12" i="4" s="1"/>
  <c r="AM15" i="7"/>
  <c r="AO9" i="3"/>
  <c r="AN10" i="3"/>
  <c r="AN13" i="5" s="1"/>
  <c r="AN7" i="7" s="1"/>
  <c r="AN8" i="7" s="1"/>
  <c r="AN7" i="4"/>
  <c r="AN10" i="4" l="1"/>
  <c r="AN12" i="4" s="1"/>
  <c r="AN15" i="7"/>
  <c r="AO10" i="3"/>
  <c r="AO13" i="5" s="1"/>
  <c r="AO7" i="7" s="1"/>
  <c r="AO7" i="4"/>
  <c r="AO10" i="4" l="1"/>
  <c r="AO12" i="4" s="1"/>
  <c r="AO15" i="7"/>
  <c r="C15" i="7" s="1"/>
  <c r="C7" i="8" s="1"/>
  <c r="C8" i="8" s="1"/>
  <c r="C10" i="8" s="1"/>
  <c r="AO8" i="7"/>
  <c r="H12" i="5" l="1"/>
  <c r="I9" i="5" l="1"/>
  <c r="I12" i="5" l="1"/>
  <c r="J9" i="5" l="1"/>
  <c r="J12" i="5" l="1"/>
  <c r="K9" i="5" l="1"/>
  <c r="K12" i="5" l="1"/>
  <c r="L9" i="5" l="1"/>
  <c r="L12" i="5" l="1"/>
  <c r="M9" i="5" l="1"/>
  <c r="M12" i="5" l="1"/>
  <c r="N9" i="5" l="1"/>
  <c r="N12" i="5" s="1"/>
  <c r="O9" i="5" s="1"/>
  <c r="O12" i="5" s="1"/>
  <c r="P9" i="5" s="1"/>
  <c r="P12" i="5" s="1"/>
  <c r="Q9" i="5" s="1"/>
  <c r="Q12" i="5" s="1"/>
  <c r="R9" i="5" s="1"/>
  <c r="R12" i="5" s="1"/>
  <c r="S9" i="5" s="1"/>
  <c r="S12" i="5" s="1"/>
  <c r="T9" i="5" s="1"/>
  <c r="T12" i="5" s="1"/>
  <c r="U9" i="5" s="1"/>
  <c r="U12" i="5" s="1"/>
  <c r="V9" i="5" s="1"/>
  <c r="V12" i="5" s="1"/>
  <c r="W9" i="5" s="1"/>
  <c r="W12" i="5" s="1"/>
  <c r="X9" i="5" s="1"/>
  <c r="X12" i="5" s="1"/>
  <c r="Y9" i="5" s="1"/>
  <c r="Y12" i="5" s="1"/>
  <c r="Z9" i="5" s="1"/>
  <c r="Z12" i="5" s="1"/>
  <c r="AA9" i="5" s="1"/>
  <c r="AA12" i="5" s="1"/>
  <c r="AB9" i="5" s="1"/>
  <c r="AB12" i="5" s="1"/>
  <c r="AC9" i="5" s="1"/>
  <c r="AC12" i="5" s="1"/>
  <c r="AD9" i="5" s="1"/>
  <c r="AD12" i="5" s="1"/>
  <c r="AE9" i="5" s="1"/>
  <c r="AE12" i="5" s="1"/>
  <c r="AF9" i="5" s="1"/>
  <c r="AF12" i="5" s="1"/>
  <c r="AG9" i="5" s="1"/>
  <c r="AG12" i="5" s="1"/>
  <c r="AH9" i="5" s="1"/>
  <c r="AH12" i="5" s="1"/>
  <c r="AI9" i="5" s="1"/>
  <c r="AI12" i="5" s="1"/>
  <c r="AJ9" i="5" s="1"/>
  <c r="AJ12" i="5" s="1"/>
  <c r="AK9" i="5" s="1"/>
  <c r="AK12" i="5" s="1"/>
  <c r="AL9" i="5" s="1"/>
  <c r="AL12" i="5" s="1"/>
  <c r="AM9" i="5" s="1"/>
  <c r="AM12" i="5" s="1"/>
  <c r="AN9" i="5" s="1"/>
  <c r="AN12" i="5" s="1"/>
  <c r="AO9" i="5" s="1"/>
  <c r="AO12" i="5" s="1"/>
  <c r="AP9" i="5" s="1"/>
  <c r="AP12" i="5" s="1"/>
  <c r="AQ9" i="5" s="1"/>
  <c r="AQ12" i="5" s="1"/>
  <c r="AR9" i="5" s="1"/>
  <c r="AR12" i="5" s="1"/>
  <c r="AS9" i="5" s="1"/>
  <c r="AS12" i="5" s="1"/>
  <c r="AT9" i="5" s="1"/>
  <c r="AT12" i="5" s="1"/>
  <c r="AU9" i="5" s="1"/>
  <c r="AU12" i="5" s="1"/>
  <c r="AV9" i="5" s="1"/>
  <c r="AV12" i="5" s="1"/>
  <c r="AW9" i="5" s="1"/>
  <c r="AW12" i="5" l="1"/>
  <c r="C13" i="5" s="1"/>
  <c r="C18" i="8"/>
  <c r="C19" i="8"/>
  <c r="C21" i="8" s="1"/>
  <c r="C9" i="5"/>
  <c r="C6" i="6"/>
  <c r="AK7" i="6" l="1"/>
  <c r="AK14" i="6" s="1"/>
  <c r="AA7" i="6"/>
  <c r="AA14" i="6" s="1"/>
  <c r="Q7" i="6"/>
  <c r="Q14" i="6" s="1"/>
  <c r="G7" i="6"/>
  <c r="AQ7" i="6"/>
  <c r="AQ14" i="6" s="1"/>
  <c r="K7" i="6"/>
  <c r="K14" i="6" s="1"/>
  <c r="U7" i="6"/>
  <c r="U14" i="6" s="1"/>
  <c r="AC7" i="6"/>
  <c r="AC14" i="6" s="1"/>
  <c r="E7" i="6"/>
  <c r="AU7" i="6"/>
  <c r="AU14" i="6" s="1"/>
  <c r="V7" i="6"/>
  <c r="V14" i="6" s="1"/>
  <c r="N7" i="6"/>
  <c r="N14" i="6" s="1"/>
  <c r="AH7" i="6"/>
  <c r="AH14" i="6" s="1"/>
  <c r="T7" i="6"/>
  <c r="T14" i="6" s="1"/>
  <c r="J7" i="6"/>
  <c r="J14" i="6" s="1"/>
  <c r="AW7" i="6"/>
  <c r="AW14" i="6" s="1"/>
  <c r="AS7" i="6"/>
  <c r="AS14" i="6" s="1"/>
  <c r="AL7" i="6"/>
  <c r="AL14" i="6" s="1"/>
  <c r="AB7" i="6"/>
  <c r="AB14" i="6" s="1"/>
  <c r="M7" i="6"/>
  <c r="M14" i="6" s="1"/>
  <c r="AI7" i="6"/>
  <c r="AI14" i="6" s="1"/>
  <c r="AJ7" i="6"/>
  <c r="AJ14" i="6" s="1"/>
  <c r="AM7" i="6"/>
  <c r="AM14" i="6" s="1"/>
  <c r="L7" i="6"/>
  <c r="L14" i="6" s="1"/>
  <c r="S7" i="6"/>
  <c r="S14" i="6" s="1"/>
  <c r="W7" i="6"/>
  <c r="W14" i="6" s="1"/>
  <c r="O7" i="6"/>
  <c r="O14" i="6" s="1"/>
  <c r="I7" i="6"/>
  <c r="I14" i="6" s="1"/>
  <c r="AD7" i="6"/>
  <c r="AD14" i="6" s="1"/>
  <c r="AR7" i="6"/>
  <c r="AR14" i="6" s="1"/>
  <c r="Y7" i="6"/>
  <c r="Y14" i="6" s="1"/>
  <c r="F7" i="6"/>
  <c r="AV7" i="6"/>
  <c r="AV14" i="6" s="1"/>
  <c r="AT7" i="6"/>
  <c r="AT14" i="6" s="1"/>
  <c r="Z7" i="6"/>
  <c r="Z14" i="6" s="1"/>
  <c r="AO7" i="6"/>
  <c r="AO14" i="6" s="1"/>
  <c r="AE7" i="6"/>
  <c r="AE14" i="6" s="1"/>
  <c r="AG7" i="6"/>
  <c r="AG14" i="6" s="1"/>
  <c r="AN7" i="6"/>
  <c r="AN14" i="6" s="1"/>
  <c r="P7" i="6"/>
  <c r="P14" i="6" s="1"/>
  <c r="X7" i="6"/>
  <c r="X14" i="6" s="1"/>
  <c r="R7" i="6"/>
  <c r="R14" i="6" s="1"/>
  <c r="H7" i="6"/>
  <c r="H14" i="6" s="1"/>
  <c r="AP7" i="6"/>
  <c r="AP14" i="6" s="1"/>
  <c r="AF7" i="6"/>
  <c r="AF14" i="6" s="1"/>
  <c r="J13" i="5"/>
  <c r="V13" i="5"/>
  <c r="W13" i="5"/>
  <c r="AC13" i="5"/>
  <c r="AB13" i="5"/>
  <c r="H13" i="5"/>
  <c r="Q13" i="5"/>
  <c r="Y13" i="5"/>
  <c r="K13" i="5"/>
  <c r="U13" i="5"/>
  <c r="M13" i="5"/>
  <c r="S13" i="5"/>
  <c r="Z13" i="5"/>
  <c r="I13" i="5"/>
  <c r="AG13" i="5"/>
  <c r="AD13" i="5"/>
  <c r="AE13" i="5"/>
  <c r="L13" i="5"/>
  <c r="AJ13" i="5"/>
  <c r="R13" i="5"/>
  <c r="P13" i="5"/>
  <c r="T13" i="5"/>
  <c r="AH13" i="5"/>
  <c r="G13" i="5"/>
  <c r="X13" i="5"/>
  <c r="AA13" i="5"/>
  <c r="AI13" i="5"/>
  <c r="AF13" i="5"/>
  <c r="O13" i="5"/>
  <c r="N13" i="5"/>
  <c r="AG7" i="7" l="1"/>
  <c r="P16" i="6"/>
  <c r="P15" i="6"/>
  <c r="P17" i="6" s="1"/>
  <c r="P11" i="7" s="1"/>
  <c r="X7" i="7"/>
  <c r="AB7" i="7"/>
  <c r="M16" i="6"/>
  <c r="M15" i="6"/>
  <c r="G7" i="7"/>
  <c r="G15" i="5"/>
  <c r="I7" i="7"/>
  <c r="AC7" i="7"/>
  <c r="AN16" i="6"/>
  <c r="AN15" i="6"/>
  <c r="AD16" i="6"/>
  <c r="AD15" i="6"/>
  <c r="AD17" i="6" s="1"/>
  <c r="AD11" i="7" s="1"/>
  <c r="AB15" i="6"/>
  <c r="AB16" i="6"/>
  <c r="E9" i="6"/>
  <c r="E14" i="6"/>
  <c r="AH7" i="7"/>
  <c r="Z7" i="7"/>
  <c r="W7" i="7"/>
  <c r="AG16" i="6"/>
  <c r="AG15" i="6"/>
  <c r="AG17" i="6" s="1"/>
  <c r="AG11" i="7" s="1"/>
  <c r="I15" i="6"/>
  <c r="I16" i="6"/>
  <c r="AL15" i="6"/>
  <c r="AL16" i="6"/>
  <c r="AC16" i="6"/>
  <c r="AC15" i="6"/>
  <c r="AU16" i="6"/>
  <c r="AU15" i="6"/>
  <c r="AU17" i="6" s="1"/>
  <c r="AU11" i="7" s="1"/>
  <c r="T7" i="7"/>
  <c r="V7" i="7"/>
  <c r="J7" i="7"/>
  <c r="AO15" i="6"/>
  <c r="AO16" i="6"/>
  <c r="K15" i="6"/>
  <c r="K16" i="6"/>
  <c r="U7" i="7"/>
  <c r="AQ15" i="6"/>
  <c r="AQ16" i="6"/>
  <c r="AJ7" i="7"/>
  <c r="K7" i="7"/>
  <c r="AF7" i="7"/>
  <c r="AV16" i="6"/>
  <c r="AV15" i="6"/>
  <c r="AM16" i="6"/>
  <c r="AM15" i="6"/>
  <c r="AH16" i="6"/>
  <c r="AH15" i="6"/>
  <c r="Q16" i="6"/>
  <c r="Q15" i="6"/>
  <c r="AR15" i="6"/>
  <c r="AR16" i="6"/>
  <c r="S7" i="7"/>
  <c r="AE16" i="6"/>
  <c r="AE15" i="6"/>
  <c r="O15" i="6"/>
  <c r="O16" i="6"/>
  <c r="AS15" i="6"/>
  <c r="AS16" i="6"/>
  <c r="U16" i="6"/>
  <c r="U15" i="6"/>
  <c r="U17" i="6" s="1"/>
  <c r="U11" i="7" s="1"/>
  <c r="P7" i="7"/>
  <c r="AW15" i="6"/>
  <c r="AW16" i="6"/>
  <c r="R7" i="7"/>
  <c r="AF15" i="6"/>
  <c r="AF16" i="6"/>
  <c r="Z15" i="6"/>
  <c r="Z16" i="6"/>
  <c r="J15" i="6"/>
  <c r="J16" i="6"/>
  <c r="AT15" i="6"/>
  <c r="AT16" i="6"/>
  <c r="G9" i="6"/>
  <c r="G14" i="6"/>
  <c r="L7" i="7"/>
  <c r="Y7" i="7"/>
  <c r="AE7" i="7"/>
  <c r="Q7" i="7"/>
  <c r="R16" i="6"/>
  <c r="R15" i="6"/>
  <c r="F9" i="6"/>
  <c r="F14" i="6"/>
  <c r="AJ15" i="6"/>
  <c r="AJ16" i="6"/>
  <c r="N16" i="6"/>
  <c r="N15" i="6"/>
  <c r="N17" i="6" s="1"/>
  <c r="N11" i="7" s="1"/>
  <c r="AA15" i="6"/>
  <c r="AA16" i="6"/>
  <c r="M7" i="7"/>
  <c r="W15" i="6"/>
  <c r="W16" i="6"/>
  <c r="N7" i="7"/>
  <c r="S15" i="6"/>
  <c r="S16" i="6"/>
  <c r="O7" i="7"/>
  <c r="AP16" i="6"/>
  <c r="AP15" i="6"/>
  <c r="L15" i="6"/>
  <c r="L16" i="6"/>
  <c r="T16" i="6"/>
  <c r="T15" i="6"/>
  <c r="T17" i="6" s="1"/>
  <c r="T11" i="7" s="1"/>
  <c r="H15" i="6"/>
  <c r="H16" i="6"/>
  <c r="AI7" i="7"/>
  <c r="AA7" i="7"/>
  <c r="AD7" i="7"/>
  <c r="H7" i="7"/>
  <c r="X15" i="6"/>
  <c r="X16" i="6"/>
  <c r="Y16" i="6"/>
  <c r="Y15" i="6"/>
  <c r="Y17" i="6" s="1"/>
  <c r="Y11" i="7" s="1"/>
  <c r="AI16" i="6"/>
  <c r="AI15" i="6"/>
  <c r="V16" i="6"/>
  <c r="V15" i="6"/>
  <c r="AK15" i="6"/>
  <c r="AK16" i="6"/>
  <c r="AV17" i="6" l="1"/>
  <c r="AV11" i="7" s="1"/>
  <c r="M17" i="6"/>
  <c r="M11" i="7" s="1"/>
  <c r="AS17" i="6"/>
  <c r="AS11" i="7" s="1"/>
  <c r="AO17" i="6"/>
  <c r="AO11" i="7" s="1"/>
  <c r="W17" i="6"/>
  <c r="W11" i="7" s="1"/>
  <c r="AF17" i="6"/>
  <c r="AF11" i="7" s="1"/>
  <c r="O17" i="6"/>
  <c r="O11" i="7" s="1"/>
  <c r="AT17" i="6"/>
  <c r="AT11" i="7" s="1"/>
  <c r="AW17" i="6"/>
  <c r="AW11" i="7" s="1"/>
  <c r="L17" i="6"/>
  <c r="L11" i="7" s="1"/>
  <c r="AA17" i="6"/>
  <c r="AA11" i="7" s="1"/>
  <c r="AQ17" i="6"/>
  <c r="AQ11" i="7" s="1"/>
  <c r="AJ17" i="6"/>
  <c r="AJ11" i="7" s="1"/>
  <c r="Z17" i="6"/>
  <c r="Z11" i="7" s="1"/>
  <c r="AR17" i="6"/>
  <c r="AR11" i="7" s="1"/>
  <c r="K17" i="6"/>
  <c r="K11" i="7" s="1"/>
  <c r="AK17" i="6"/>
  <c r="AK11" i="7" s="1"/>
  <c r="V17" i="6"/>
  <c r="V11" i="7" s="1"/>
  <c r="F15" i="6"/>
  <c r="F16" i="6"/>
  <c r="Q17" i="6"/>
  <c r="Q11" i="7" s="1"/>
  <c r="AC17" i="6"/>
  <c r="AC11" i="7" s="1"/>
  <c r="AN17" i="6"/>
  <c r="AN11" i="7" s="1"/>
  <c r="AI17" i="6"/>
  <c r="AI11" i="7" s="1"/>
  <c r="AP17" i="6"/>
  <c r="AP11" i="7" s="1"/>
  <c r="R17" i="6"/>
  <c r="R11" i="7" s="1"/>
  <c r="G15" i="6"/>
  <c r="G16" i="6"/>
  <c r="AH17" i="6"/>
  <c r="AH11" i="7" s="1"/>
  <c r="F11" i="6"/>
  <c r="F10" i="6"/>
  <c r="F12" i="6" s="1"/>
  <c r="F6" i="7" s="1"/>
  <c r="F10" i="7" s="1"/>
  <c r="G11" i="6"/>
  <c r="G10" i="6"/>
  <c r="G12" i="6" s="1"/>
  <c r="G6" i="7" s="1"/>
  <c r="G10" i="7" s="1"/>
  <c r="AL17" i="6"/>
  <c r="AL11" i="7" s="1"/>
  <c r="AE17" i="6"/>
  <c r="AE11" i="7" s="1"/>
  <c r="AM17" i="6"/>
  <c r="AM11" i="7" s="1"/>
  <c r="E15" i="6"/>
  <c r="E16" i="6"/>
  <c r="I17" i="6"/>
  <c r="I11" i="7" s="1"/>
  <c r="E11" i="6"/>
  <c r="E10" i="6"/>
  <c r="G16" i="5"/>
  <c r="H11" i="5" s="1"/>
  <c r="X17" i="6"/>
  <c r="X11" i="7" s="1"/>
  <c r="H17" i="6"/>
  <c r="H11" i="7" s="1"/>
  <c r="S17" i="6"/>
  <c r="S11" i="7" s="1"/>
  <c r="J17" i="6"/>
  <c r="J11" i="7" s="1"/>
  <c r="AB17" i="6"/>
  <c r="AB11" i="7" s="1"/>
  <c r="C7" i="7"/>
  <c r="G8" i="7" l="1"/>
  <c r="E12" i="6"/>
  <c r="E6" i="7" s="1"/>
  <c r="G17" i="6"/>
  <c r="G11" i="7" s="1"/>
  <c r="F17" i="6"/>
  <c r="F11" i="7" s="1"/>
  <c r="E17" i="6"/>
  <c r="E11" i="7" s="1"/>
  <c r="H14" i="5"/>
  <c r="H9" i="6" l="1"/>
  <c r="H15" i="5"/>
  <c r="C11" i="7"/>
  <c r="C13" i="8"/>
  <c r="C11" i="8"/>
  <c r="E10" i="7"/>
  <c r="H16" i="5" l="1"/>
  <c r="I11" i="5" s="1"/>
  <c r="H11" i="6"/>
  <c r="H10" i="6"/>
  <c r="H12" i="6" l="1"/>
  <c r="H6" i="7" s="1"/>
  <c r="I14" i="5"/>
  <c r="I9" i="6" l="1"/>
  <c r="I15" i="5"/>
  <c r="H10" i="7"/>
  <c r="H8" i="7"/>
  <c r="I16" i="5" l="1"/>
  <c r="J11" i="5" s="1"/>
  <c r="I11" i="6"/>
  <c r="I10" i="6"/>
  <c r="I12" i="6" l="1"/>
  <c r="I6" i="7" s="1"/>
  <c r="J14" i="5"/>
  <c r="J9" i="6" l="1"/>
  <c r="J15" i="5"/>
  <c r="I10" i="7"/>
  <c r="I8" i="7"/>
  <c r="J16" i="5" l="1"/>
  <c r="K11" i="5" s="1"/>
  <c r="J10" i="6"/>
  <c r="J11" i="6"/>
  <c r="J12" i="6" l="1"/>
  <c r="J6" i="7" s="1"/>
  <c r="K14" i="5"/>
  <c r="K9" i="6" l="1"/>
  <c r="K15" i="5"/>
  <c r="J10" i="7"/>
  <c r="J8" i="7"/>
  <c r="K16" i="5" l="1"/>
  <c r="L11" i="5" s="1"/>
  <c r="K10" i="6"/>
  <c r="K11" i="6"/>
  <c r="L14" i="5" l="1"/>
  <c r="K12" i="6"/>
  <c r="K6" i="7" s="1"/>
  <c r="K10" i="7" l="1"/>
  <c r="K8" i="7"/>
  <c r="L9" i="6"/>
  <c r="L15" i="5"/>
  <c r="L16" i="5" s="1"/>
  <c r="M11" i="5" s="1"/>
  <c r="M14" i="5" l="1"/>
  <c r="L11" i="6"/>
  <c r="L10" i="6"/>
  <c r="L12" i="6" s="1"/>
  <c r="L6" i="7" s="1"/>
  <c r="L10" i="7" l="1"/>
  <c r="L8" i="7"/>
  <c r="M9" i="6"/>
  <c r="M15" i="5"/>
  <c r="M16" i="5" s="1"/>
  <c r="N11" i="5" s="1"/>
  <c r="N14" i="5" l="1"/>
  <c r="M11" i="6"/>
  <c r="M10" i="6"/>
  <c r="M12" i="6" s="1"/>
  <c r="M6" i="7" s="1"/>
  <c r="M10" i="7" l="1"/>
  <c r="M8" i="7"/>
  <c r="N9" i="6"/>
  <c r="N15" i="5"/>
  <c r="N16" i="5" s="1"/>
  <c r="O11" i="5" s="1"/>
  <c r="O14" i="5" l="1"/>
  <c r="N10" i="6"/>
  <c r="N11" i="6"/>
  <c r="N12" i="6" l="1"/>
  <c r="N6" i="7" s="1"/>
  <c r="N10" i="7"/>
  <c r="N8" i="7"/>
  <c r="O9" i="6"/>
  <c r="O15" i="5"/>
  <c r="O16" i="5" s="1"/>
  <c r="P11" i="5" s="1"/>
  <c r="O10" i="6" l="1"/>
  <c r="O11" i="6"/>
  <c r="P14" i="5"/>
  <c r="P9" i="6" l="1"/>
  <c r="P15" i="5"/>
  <c r="P16" i="5" s="1"/>
  <c r="Q11" i="5" s="1"/>
  <c r="O12" i="6"/>
  <c r="O6" i="7" s="1"/>
  <c r="Q14" i="5" l="1"/>
  <c r="O10" i="7"/>
  <c r="O8" i="7"/>
  <c r="P11" i="6"/>
  <c r="P10" i="6"/>
  <c r="P12" i="6" l="1"/>
  <c r="P6" i="7" s="1"/>
  <c r="Q9" i="6"/>
  <c r="Q15" i="5"/>
  <c r="Q16" i="5" s="1"/>
  <c r="R11" i="5" s="1"/>
  <c r="R14" i="5" l="1"/>
  <c r="Q11" i="6"/>
  <c r="Q10" i="6"/>
  <c r="Q12" i="6" s="1"/>
  <c r="Q6" i="7" s="1"/>
  <c r="P10" i="7"/>
  <c r="P8" i="7"/>
  <c r="Q10" i="7" l="1"/>
  <c r="Q8" i="7"/>
  <c r="R9" i="6"/>
  <c r="R15" i="5"/>
  <c r="R16" i="5" s="1"/>
  <c r="S11" i="5" s="1"/>
  <c r="S14" i="5" l="1"/>
  <c r="R11" i="6"/>
  <c r="R10" i="6"/>
  <c r="R12" i="6" l="1"/>
  <c r="R6" i="7" s="1"/>
  <c r="R10" i="7" s="1"/>
  <c r="R8" i="7"/>
  <c r="S9" i="6"/>
  <c r="S15" i="5"/>
  <c r="S16" i="5" s="1"/>
  <c r="T11" i="5" s="1"/>
  <c r="S10" i="6" l="1"/>
  <c r="S11" i="6"/>
  <c r="T14" i="5"/>
  <c r="S12" i="6" l="1"/>
  <c r="S6" i="7" s="1"/>
  <c r="T9" i="6"/>
  <c r="T15" i="5"/>
  <c r="T16" i="5" s="1"/>
  <c r="U11" i="5" s="1"/>
  <c r="S10" i="7"/>
  <c r="S8" i="7"/>
  <c r="U14" i="5" l="1"/>
  <c r="T10" i="6"/>
  <c r="T11" i="6"/>
  <c r="T12" i="6" l="1"/>
  <c r="T6" i="7" s="1"/>
  <c r="U9" i="6"/>
  <c r="U15" i="5"/>
  <c r="U16" i="5" s="1"/>
  <c r="V11" i="5" s="1"/>
  <c r="U11" i="6" l="1"/>
  <c r="U10" i="6"/>
  <c r="U12" i="6" s="1"/>
  <c r="U6" i="7" s="1"/>
  <c r="V14" i="5"/>
  <c r="T10" i="7"/>
  <c r="T8" i="7"/>
  <c r="V9" i="6" l="1"/>
  <c r="V15" i="5"/>
  <c r="V16" i="5" s="1"/>
  <c r="W11" i="5" s="1"/>
  <c r="U10" i="7"/>
  <c r="U8" i="7"/>
  <c r="W14" i="5" l="1"/>
  <c r="V10" i="6"/>
  <c r="V11" i="6"/>
  <c r="V12" i="6" l="1"/>
  <c r="V6" i="7" s="1"/>
  <c r="V8" i="7" s="1"/>
  <c r="V10" i="7"/>
  <c r="W9" i="6"/>
  <c r="W15" i="5"/>
  <c r="W16" i="5" s="1"/>
  <c r="X11" i="5" s="1"/>
  <c r="X14" i="5" l="1"/>
  <c r="W11" i="6"/>
  <c r="W10" i="6"/>
  <c r="X9" i="6" l="1"/>
  <c r="X15" i="5"/>
  <c r="X16" i="5" s="1"/>
  <c r="Y11" i="5" s="1"/>
  <c r="W12" i="6"/>
  <c r="W6" i="7" s="1"/>
  <c r="W10" i="7" l="1"/>
  <c r="W8" i="7"/>
  <c r="Y14" i="5"/>
  <c r="X11" i="6"/>
  <c r="X10" i="6"/>
  <c r="X12" i="6" l="1"/>
  <c r="X6" i="7" s="1"/>
  <c r="Y9" i="6"/>
  <c r="Y15" i="5"/>
  <c r="Y16" i="5" s="1"/>
  <c r="Z11" i="5" s="1"/>
  <c r="Z14" i="5" l="1"/>
  <c r="Y11" i="6"/>
  <c r="Y10" i="6"/>
  <c r="Y12" i="6" s="1"/>
  <c r="Y6" i="7" s="1"/>
  <c r="X10" i="7"/>
  <c r="X8" i="7"/>
  <c r="Y10" i="7" l="1"/>
  <c r="Y8" i="7"/>
  <c r="Z9" i="6"/>
  <c r="Z15" i="5"/>
  <c r="Z16" i="5" s="1"/>
  <c r="AA11" i="5" s="1"/>
  <c r="AA14" i="5" l="1"/>
  <c r="Z10" i="6"/>
  <c r="Z11" i="6"/>
  <c r="Z12" i="6" l="1"/>
  <c r="Z6" i="7" s="1"/>
  <c r="AA9" i="6"/>
  <c r="AA15" i="5"/>
  <c r="AA16" i="5" s="1"/>
  <c r="AB11" i="5" s="1"/>
  <c r="AA11" i="6" l="1"/>
  <c r="AA10" i="6"/>
  <c r="AA12" i="6" s="1"/>
  <c r="AA6" i="7" s="1"/>
  <c r="AB14" i="5"/>
  <c r="Z10" i="7"/>
  <c r="Z8" i="7"/>
  <c r="AB9" i="6" l="1"/>
  <c r="AB15" i="5"/>
  <c r="AB16" i="5" s="1"/>
  <c r="AC11" i="5" s="1"/>
  <c r="AA10" i="7"/>
  <c r="AA8" i="7"/>
  <c r="AC14" i="5" l="1"/>
  <c r="AB10" i="6"/>
  <c r="AB11" i="6"/>
  <c r="AB12" i="6" l="1"/>
  <c r="AB6" i="7" s="1"/>
  <c r="AC9" i="6"/>
  <c r="AC15" i="5"/>
  <c r="AC16" i="5" s="1"/>
  <c r="AD11" i="5" s="1"/>
  <c r="AC10" i="6" l="1"/>
  <c r="AC11" i="6"/>
  <c r="AD14" i="5"/>
  <c r="AB10" i="7"/>
  <c r="AB8" i="7"/>
  <c r="AD9" i="6" l="1"/>
  <c r="AD15" i="5"/>
  <c r="AD16" i="5" s="1"/>
  <c r="AE11" i="5" s="1"/>
  <c r="AC12" i="6"/>
  <c r="AC6" i="7" s="1"/>
  <c r="AC10" i="7" l="1"/>
  <c r="AC8" i="7"/>
  <c r="AE14" i="5"/>
  <c r="AD11" i="6"/>
  <c r="AD10" i="6"/>
  <c r="AD12" i="6" l="1"/>
  <c r="AD6" i="7" s="1"/>
  <c r="AD10" i="7"/>
  <c r="AD8" i="7"/>
  <c r="AE9" i="6"/>
  <c r="AE15" i="5"/>
  <c r="AE16" i="5" s="1"/>
  <c r="AF11" i="5" s="1"/>
  <c r="AE10" i="6" l="1"/>
  <c r="AE11" i="6"/>
  <c r="AF14" i="5"/>
  <c r="AF9" i="6" l="1"/>
  <c r="AF15" i="5"/>
  <c r="AF16" i="5" s="1"/>
  <c r="AG11" i="5" s="1"/>
  <c r="AE12" i="6"/>
  <c r="AE6" i="7" s="1"/>
  <c r="AE10" i="7" l="1"/>
  <c r="AE8" i="7"/>
  <c r="AG14" i="5"/>
  <c r="AF10" i="6"/>
  <c r="AF11" i="6"/>
  <c r="AF12" i="6" l="1"/>
  <c r="AF6" i="7" s="1"/>
  <c r="AF10" i="7" s="1"/>
  <c r="AG9" i="6"/>
  <c r="AG15" i="5"/>
  <c r="AG16" i="5" s="1"/>
  <c r="AH11" i="5" s="1"/>
  <c r="AF8" i="7" l="1"/>
  <c r="AG11" i="6"/>
  <c r="AG10" i="6"/>
  <c r="AG12" i="6" s="1"/>
  <c r="AG6" i="7" s="1"/>
  <c r="AH14" i="5"/>
  <c r="AH9" i="6" l="1"/>
  <c r="AH15" i="5"/>
  <c r="AH16" i="5" s="1"/>
  <c r="AI11" i="5" s="1"/>
  <c r="AG10" i="7"/>
  <c r="AG8" i="7"/>
  <c r="AI14" i="5" l="1"/>
  <c r="AH10" i="6"/>
  <c r="AH11" i="6"/>
  <c r="AH12" i="6" l="1"/>
  <c r="AH6" i="7" s="1"/>
  <c r="AI9" i="6"/>
  <c r="AI15" i="5"/>
  <c r="AI16" i="5" s="1"/>
  <c r="AJ11" i="5" s="1"/>
  <c r="AI11" i="6" l="1"/>
  <c r="AI10" i="6"/>
  <c r="AI12" i="6" s="1"/>
  <c r="AI6" i="7" s="1"/>
  <c r="AJ14" i="5"/>
  <c r="AH10" i="7"/>
  <c r="AH8" i="7"/>
  <c r="AJ9" i="6" l="1"/>
  <c r="AJ15" i="5"/>
  <c r="AJ16" i="5" s="1"/>
  <c r="AI10" i="7"/>
  <c r="AI8" i="7"/>
  <c r="B8" i="9" l="1" a="1"/>
  <c r="B8" i="9" s="1"/>
  <c r="AK11" i="5"/>
  <c r="AJ10" i="6"/>
  <c r="AJ11" i="6"/>
  <c r="AJ12" i="6" l="1"/>
  <c r="AJ6" i="7" s="1"/>
  <c r="AJ10" i="7"/>
  <c r="AJ8" i="7"/>
  <c r="AK14" i="5"/>
  <c r="AK15" i="5" l="1"/>
  <c r="AK16" i="5" s="1"/>
  <c r="AL11" i="5" s="1"/>
  <c r="AK9" i="6"/>
  <c r="C14" i="8"/>
  <c r="C15" i="8"/>
  <c r="AK11" i="6" l="1"/>
  <c r="AK10" i="6"/>
  <c r="AK12" i="6" s="1"/>
  <c r="AK6" i="7" s="1"/>
  <c r="AK10" i="7" s="1"/>
  <c r="AL14" i="5"/>
  <c r="AL9" i="6" l="1"/>
  <c r="AL15" i="5"/>
  <c r="AL16" i="5" s="1"/>
  <c r="AM11" i="5" s="1"/>
  <c r="AM14" i="5" l="1"/>
  <c r="AL10" i="6"/>
  <c r="AL11" i="6"/>
  <c r="AL12" i="6" l="1"/>
  <c r="AL6" i="7" s="1"/>
  <c r="AL10" i="7" s="1"/>
  <c r="AM15" i="5"/>
  <c r="AM16" i="5" s="1"/>
  <c r="AN11" i="5" s="1"/>
  <c r="AM9" i="6"/>
  <c r="AM11" i="6" l="1"/>
  <c r="AM10" i="6"/>
  <c r="AM12" i="6" s="1"/>
  <c r="AM6" i="7" s="1"/>
  <c r="AM10" i="7" s="1"/>
  <c r="AN14" i="5"/>
  <c r="AN9" i="6" l="1"/>
  <c r="AN15" i="5"/>
  <c r="AN16" i="5" s="1"/>
  <c r="AO11" i="5" s="1"/>
  <c r="AO14" i="5" l="1"/>
  <c r="AN10" i="6"/>
  <c r="AN11" i="6"/>
  <c r="AN12" i="6" l="1"/>
  <c r="AN6" i="7" s="1"/>
  <c r="AN10" i="7" s="1"/>
  <c r="AO15" i="5"/>
  <c r="AO16" i="5" s="1"/>
  <c r="AP11" i="5" s="1"/>
  <c r="AO9" i="6"/>
  <c r="AO11" i="6" l="1"/>
  <c r="AO10" i="6"/>
  <c r="AO12" i="6" s="1"/>
  <c r="AO6" i="7" s="1"/>
  <c r="AO10" i="7" s="1"/>
  <c r="AP14" i="5"/>
  <c r="AP9" i="6" l="1"/>
  <c r="AP15" i="5"/>
  <c r="AP16" i="5" s="1"/>
  <c r="AQ11" i="5" s="1"/>
  <c r="AQ14" i="5" l="1"/>
  <c r="AP10" i="6"/>
  <c r="AP11" i="6"/>
  <c r="AP12" i="6" l="1"/>
  <c r="AP6" i="7" s="1"/>
  <c r="AP10" i="7" s="1"/>
  <c r="AQ15" i="5"/>
  <c r="AQ16" i="5" s="1"/>
  <c r="AR11" i="5" s="1"/>
  <c r="AQ9" i="6"/>
  <c r="AQ11" i="6" l="1"/>
  <c r="AQ10" i="6"/>
  <c r="AQ12" i="6" s="1"/>
  <c r="AQ6" i="7" s="1"/>
  <c r="AQ10" i="7" s="1"/>
  <c r="AR14" i="5"/>
  <c r="AR9" i="6" l="1"/>
  <c r="AR15" i="5"/>
  <c r="AR16" i="5" s="1"/>
  <c r="AS11" i="5" s="1"/>
  <c r="AS14" i="5" l="1"/>
  <c r="AR10" i="6"/>
  <c r="AR11" i="6"/>
  <c r="AR12" i="6" l="1"/>
  <c r="AR6" i="7" s="1"/>
  <c r="AR10" i="7" s="1"/>
  <c r="AS15" i="5"/>
  <c r="AS16" i="5" s="1"/>
  <c r="AT11" i="5" s="1"/>
  <c r="AS9" i="6"/>
  <c r="AS10" i="6" l="1"/>
  <c r="AS11" i="6"/>
  <c r="AT14" i="5"/>
  <c r="AT15" i="5" l="1"/>
  <c r="AT16" i="5" s="1"/>
  <c r="AU11" i="5" s="1"/>
  <c r="AT9" i="6"/>
  <c r="AS12" i="6"/>
  <c r="AS6" i="7" s="1"/>
  <c r="AS10" i="7" s="1"/>
  <c r="AT10" i="6" l="1"/>
  <c r="AT11" i="6"/>
  <c r="AU14" i="5"/>
  <c r="AT12" i="6" l="1"/>
  <c r="AT6" i="7" s="1"/>
  <c r="AT10" i="7" s="1"/>
  <c r="AU9" i="6"/>
  <c r="AU15" i="5"/>
  <c r="AU16" i="5" s="1"/>
  <c r="AV11" i="5" s="1"/>
  <c r="AV14" i="5" l="1"/>
  <c r="AU11" i="6"/>
  <c r="AU10" i="6"/>
  <c r="AU12" i="6" l="1"/>
  <c r="AU6" i="7" s="1"/>
  <c r="AU10" i="7" s="1"/>
  <c r="AV15" i="5"/>
  <c r="AV16" i="5" s="1"/>
  <c r="AW11" i="5" s="1"/>
  <c r="AV9" i="6"/>
  <c r="AV10" i="6" l="1"/>
  <c r="AV11" i="6"/>
  <c r="AW14" i="5"/>
  <c r="AV12" i="6" l="1"/>
  <c r="AV6" i="7" s="1"/>
  <c r="AV10" i="7" s="1"/>
  <c r="AW9" i="6"/>
  <c r="AW15" i="5"/>
  <c r="B9" i="9" l="1"/>
  <c r="AW16" i="5"/>
  <c r="AW10" i="6"/>
  <c r="AW11" i="6"/>
  <c r="AW12" i="6" l="1"/>
  <c r="AW6" i="7" s="1"/>
  <c r="B14" i="9" a="1"/>
  <c r="B14" i="9" s="1"/>
  <c r="AW10" i="7" l="1"/>
  <c r="C6" i="7"/>
  <c r="C12" i="8" l="1"/>
  <c r="B13" i="9" s="1"/>
  <c r="C10" i="7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<sst xmlns="http://schemas.openxmlformats.org/spreadsheetml/2006/main" count="646" uniqueCount="364">
  <si>
    <t>1</t>
  </si>
  <si>
    <t>2</t>
  </si>
  <si>
    <t>3</t>
  </si>
  <si>
    <t>4</t>
  </si>
  <si>
    <t>Colour key</t>
  </si>
  <si>
    <t>Blue text</t>
  </si>
  <si>
    <t>Hard-coded input (from a source or labelled judgment/invented)</t>
  </si>
  <si>
    <t>Black text</t>
  </si>
  <si>
    <t>Green text</t>
  </si>
  <si>
    <t>Formula linking to another sheet</t>
  </si>
  <si>
    <t>Pale-yellow fill</t>
  </si>
  <si>
    <t>Yellow fill</t>
  </si>
  <si>
    <t>Key switch (country selector)</t>
  </si>
  <si>
    <t>Conventions</t>
  </si>
  <si>
    <t>Currency</t>
  </si>
  <si>
    <t>USD, nominal. SAR and AED are USD-pegged (AED 3.6725 per USD).</t>
  </si>
  <si>
    <t>Units</t>
  </si>
  <si>
    <t>Capex and O&amp;M per kWac. Specific yield per kWp (DC). Convert with the DC/AC ratio.</t>
  </si>
  <si>
    <t>Tariff</t>
  </si>
  <si>
    <t>Input in US cents/kWh. 1 US cent/kWh = $10/MWh.</t>
  </si>
  <si>
    <t>Periods</t>
  </si>
  <si>
    <t>Annual. Period 1 = financial close. Construction periods first (capex, no revenue), then operating years.</t>
  </si>
  <si>
    <t>Percentages</t>
  </si>
  <si>
    <t>Stored as fractions (0.72 shows as 72.0%).</t>
  </si>
  <si>
    <t>v1 simplifications</t>
  </si>
  <si>
    <t>Inputs</t>
  </si>
  <si>
    <t>Country switch</t>
  </si>
  <si>
    <t>KSA</t>
  </si>
  <si>
    <t>&lt;- choose KSA or UAE</t>
  </si>
  <si>
    <t>Input</t>
  </si>
  <si>
    <t>Key</t>
  </si>
  <si>
    <t>Unit</t>
  </si>
  <si>
    <t>UAE</t>
  </si>
  <si>
    <t>Selected</t>
  </si>
  <si>
    <t>Low</t>
  </si>
  <si>
    <t>High</t>
  </si>
  <si>
    <t>Type</t>
  </si>
  <si>
    <t>Basis / source</t>
  </si>
  <si>
    <t>Plant</t>
  </si>
  <si>
    <t>Capacity</t>
  </si>
  <si>
    <t>capacity</t>
  </si>
  <si>
    <t>MWac</t>
  </si>
  <si>
    <t>invented</t>
  </si>
  <si>
    <t>Reference size for a like-for-like comparison</t>
  </si>
  <si>
    <t>DC/AC ratio</t>
  </si>
  <si>
    <t>dc_ac_ratio</t>
  </si>
  <si>
    <t>x</t>
  </si>
  <si>
    <t>judgment</t>
  </si>
  <si>
    <t>NREL ATB 2024 and US DOE Q1 2025 benchmark use 1.34</t>
  </si>
  <si>
    <t>Specific yield, year 1</t>
  </si>
  <si>
    <t>specific_yield_year1</t>
  </si>
  <si>
    <t>kWh/kWp</t>
  </si>
  <si>
    <t>derived</t>
  </si>
  <si>
    <t>KSA: Najran 1,960 fixed-tilt (Global Solar Atlas) x 1.236 uplift; UAE: Al Dhafra 4,700 GWh / 2,100 MWp (Fichtner). Test +/-10%</t>
  </si>
  <si>
    <t>Degradation</t>
  </si>
  <si>
    <t>degradation</t>
  </si>
  <si>
    <t>%/yr</t>
  </si>
  <si>
    <t>public</t>
  </si>
  <si>
    <t>NREL median 0.5%/yr; NREL ATB baseline 0.7%/yr</t>
  </si>
  <si>
    <t>Construction (new in v1 skeleton)</t>
  </si>
  <si>
    <t>Construction period</t>
  </si>
  <si>
    <t>construction_years</t>
  </si>
  <si>
    <t>years</t>
  </si>
  <si>
    <t>Financial close to COD: Sudair ~1.5 yrs (2021-22); Shuaibah 1/2 ~1.5-2.3 yrs (Aug 2023 to Feb/Nov 2025); Khazna ~2 yrs (Jan 2026 to 2028)</t>
  </si>
  <si>
    <t>Capex spent in construction year 1</t>
  </si>
  <si>
    <t>capex_phase_y1</t>
  </si>
  <si>
    <t>% of capex</t>
  </si>
  <si>
    <t>Typical back-loaded spend: modules and trackers delivered late. Year 2 = remainder</t>
  </si>
  <si>
    <t>Capex spent in construction year 2</t>
  </si>
  <si>
    <t>capex_phase_y2</t>
  </si>
  <si>
    <t>Must sum to 100% with year 1 (see Checks)</t>
  </si>
  <si>
    <t>Costs</t>
  </si>
  <si>
    <t>Capex</t>
  </si>
  <si>
    <t>capex</t>
  </si>
  <si>
    <t>USD/kWac</t>
  </si>
  <si>
    <t>Baker Institute (Feb 2026): Saudi projects 2023-25 ~600/kW, tendered ~500/kW; upper bound IRENA (2026) Renewable power generation costs in 2025 Saudi 725/kW</t>
  </si>
  <si>
    <t>Fixed O&amp;M</t>
  </si>
  <si>
    <t>fixed_om</t>
  </si>
  <si>
    <t>USD/kWac/yr</t>
  </si>
  <si>
    <t>IRENA (2026) Renewable power generation costs in 2025, Table A4 (non-OECD 11.2); upper bound US DOE Q1 2025</t>
  </si>
  <si>
    <t>Revenue</t>
  </si>
  <si>
    <t>PPA tariff</t>
  </si>
  <si>
    <t>ppa_tariff</t>
  </si>
  <si>
    <t>US cents/kWh</t>
  </si>
  <si>
    <t>KSA: NREP Round 6 (Oct 2025) 1.10-1.51; UAE: Al Ajban 1.413 (2024), range 1.35-1.70</t>
  </si>
  <si>
    <t>PPA term</t>
  </si>
  <si>
    <t>ppa_term</t>
  </si>
  <si>
    <t>KSA: Shuaibah 1/2 35 yrs (ACWA Power); UAE: EWEC 30 yrs (Al Ajban, Khazna, Al Dhafra)</t>
  </si>
  <si>
    <t>Financing</t>
  </si>
  <si>
    <t>Gearing (debt share of capex)</t>
  </si>
  <si>
    <t>gearing</t>
  </si>
  <si>
    <t>%</t>
  </si>
  <si>
    <t>Dec 2025 Saudi close: $5.9bn debt of $8.2bn</t>
  </si>
  <si>
    <t>Debt tenor (from COD)</t>
  </si>
  <si>
    <t>debt_tenor</t>
  </si>
  <si>
    <t>PPA term minus 3-5 years; Sudair 28-year soft mini-perm</t>
  </si>
  <si>
    <t>All-in debt rate</t>
  </si>
  <si>
    <t>debt_rate</t>
  </si>
  <si>
    <t>3M SAIBOR 4.83% (Aug 2026) + assumed 1.25% margin</t>
  </si>
  <si>
    <t>Tax</t>
  </si>
  <si>
    <t>KSA corporate income tax</t>
  </si>
  <si>
    <t>ksa_cit</t>
  </si>
  <si>
    <t>PwC Tax Summaries: 20% on non-Saudi/non-GCC share</t>
  </si>
  <si>
    <t>KSA zakat</t>
  </si>
  <si>
    <t>ksa_zakat</t>
  </si>
  <si>
    <t>PwC Tax Summaries: 2.5% on Saudi/GCC share (v1: applied to profit as a proxy)</t>
  </si>
  <si>
    <t>Foreign ownership share (KSA)</t>
  </si>
  <si>
    <t>foreign_ownership_share</t>
  </si>
  <si>
    <t>Splits profit between income tax and zakat</t>
  </si>
  <si>
    <t>UAE corporate tax</t>
  </si>
  <si>
    <t>uae_ct</t>
  </si>
  <si>
    <t>UAE CT Law: 9% above AED 375,000 (Deloitte summary)</t>
  </si>
  <si>
    <t>UAE tax-free threshold</t>
  </si>
  <si>
    <t>uae_threshold_aed</t>
  </si>
  <si>
    <t>AED</t>
  </si>
  <si>
    <t>UAE CT Law</t>
  </si>
  <si>
    <t>AED per USD</t>
  </si>
  <si>
    <t>aed_per_usd</t>
  </si>
  <si>
    <t>Fixed peg</t>
  </si>
  <si>
    <t>Valuation and targets</t>
  </si>
  <si>
    <t>Discount rate (nominal, after tax)</t>
  </si>
  <si>
    <t>discount_rate</t>
  </si>
  <si>
    <t>KSA public / UAE judgment</t>
  </si>
  <si>
    <t>Hatton et al. (2026) 2026 forecast, https://doi.org/10.5281/zenodo.18662192; UAE between that (8.3%) and IRENA (4.2% real)</t>
  </si>
  <si>
    <t>Project life (operating years)</t>
  </si>
  <si>
    <t>project_life</t>
  </si>
  <si>
    <t>Equal to PPA term in v1</t>
  </si>
  <si>
    <t>Target equity IRR (for solve-for)</t>
  </si>
  <si>
    <t>target_equity_irr</t>
  </si>
  <si>
    <t>Placeholder hurdle for the tariff solve; change freely</t>
  </si>
  <si>
    <t>Target minimum DSCR (for solve-for)</t>
  </si>
  <si>
    <t>target_min_dscr</t>
  </si>
  <si>
    <t>Placeholder lender covenant for the tariff solve</t>
  </si>
  <si>
    <t>Scenarios (discount rate overlay)</t>
  </si>
  <si>
    <t>Conflict premium</t>
  </si>
  <si>
    <t>conflict_premium</t>
  </si>
  <si>
    <t>bp</t>
  </si>
  <si>
    <t>Sovereign spreads +25-50 bp plus ~30 bp Treasuries (AGBI, Aug 2026)</t>
  </si>
  <si>
    <t>Severe scenario premium</t>
  </si>
  <si>
    <t>severe_premium</t>
  </si>
  <si>
    <t>Spreads to top of range + Treasuries + lender repricing</t>
  </si>
  <si>
    <t>Timeline</t>
  </si>
  <si>
    <t>Flags that switch each period on or off. Period 1 = financial close.</t>
  </si>
  <si>
    <t>Line  (period number across)</t>
  </si>
  <si>
    <t>Total / value</t>
  </si>
  <si>
    <t>Spec note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</si>
  <si>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</si>
  <si>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</si>
  <si>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</si>
  <si>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</si>
  <si>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</si>
  <si>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</si>
  <si>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</si>
  <si>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</si>
  <si>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</si>
  <si>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</si>
  <si>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</si>
  <si>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</si>
  <si>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</si>
  <si>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</si>
  <si>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</si>
  <si>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</si>
  <si>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</si>
  <si>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</si>
  <si>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</si>
  <si>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</si>
  <si>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</si>
  <si>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</si>
  <si>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</si>
  <si>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</si>
  <si>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</si>
  <si>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</si>
  <si>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</si>
  <si>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</si>
  <si>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</si>
  <si>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</si>
  <si>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</si>
  <si>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</si>
  <si>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</si>
  <si>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</si>
  <si>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</si>
  <si>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</si>
  <si>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</si>
  <si>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</si>
  <si>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</si>
  <si>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</si>
  <si>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</si>
  <si>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Period flags</t>
  </si>
  <si>
    <t>Construction flag</t>
  </si>
  <si>
    <t>1/0</t>
  </si>
  <si>
    <t>Period &lt;= construction years</t>
  </si>
  <si>
    <t>Construction year number</t>
  </si>
  <si>
    <t>#</t>
  </si>
  <si>
    <t>1, 2 during construction</t>
  </si>
  <si>
    <t>Operations flag</t>
  </si>
  <si>
    <t>After construction, up to PPA term</t>
  </si>
  <si>
    <t>Operating year number</t>
  </si>
  <si>
    <t>1 in first operating year</t>
  </si>
  <si>
    <t>Debt repayment flag</t>
  </si>
  <si>
    <t>Operating year &lt;= debt tenor</t>
  </si>
  <si>
    <t>Discount factor (to financial close)</t>
  </si>
  <si>
    <t>Operations</t>
  </si>
  <si>
    <t>Generation</t>
  </si>
  <si>
    <t>DC capacity</t>
  </si>
  <si>
    <t>MWp</t>
  </si>
  <si>
    <t>MWh</t>
  </si>
  <si>
    <t>Revenue and costs</t>
  </si>
  <si>
    <t>USD/MWh</t>
  </si>
  <si>
    <t>USD</t>
  </si>
  <si>
    <t>O&amp;M cost</t>
  </si>
  <si>
    <t>EBITDA</t>
  </si>
  <si>
    <t>Debt</t>
  </si>
  <si>
    <t>Construction funding</t>
  </si>
  <si>
    <t>Capex spend</t>
  </si>
  <si>
    <t>Debt drawdown (capex share)</t>
  </si>
  <si>
    <t>Equity contribution</t>
  </si>
  <si>
    <t>Interest during construction (capitalised)</t>
  </si>
  <si>
    <t>Loan account</t>
  </si>
  <si>
    <t>Opening balance</t>
  </si>
  <si>
    <t>Previous closing balance</t>
  </si>
  <si>
    <t>Drawdown incl. capitalised interest</t>
  </si>
  <si>
    <t>Construction years only</t>
  </si>
  <si>
    <t>Debt service (annuity)</t>
  </si>
  <si>
    <t>Interest paid</t>
  </si>
  <si>
    <t>Principal repaid</t>
  </si>
  <si>
    <t>Closing balance</t>
  </si>
  <si>
    <t>Opening + drawdown - principal</t>
  </si>
  <si>
    <t>Depreciation</t>
  </si>
  <si>
    <t>Depreciable base (capex + capitalised interest)</t>
  </si>
  <si>
    <t>Single value</t>
  </si>
  <si>
    <t>Levered (for equity and CFADS)</t>
  </si>
  <si>
    <t>Taxable income</t>
  </si>
  <si>
    <t>Tax: KSA (income tax + zakat proxy)</t>
  </si>
  <si>
    <t>Tax: UAE</t>
  </si>
  <si>
    <t>Tax: selected country</t>
  </si>
  <si>
    <t>Unlevered (for project returns)</t>
  </si>
  <si>
    <t>Unlevered taxable income</t>
  </si>
  <si>
    <t>Unlevered tax: selected country</t>
  </si>
  <si>
    <t>CashFlow</t>
  </si>
  <si>
    <t>Debt cover</t>
  </si>
  <si>
    <t>CFADS</t>
  </si>
  <si>
    <t>Debt service</t>
  </si>
  <si>
    <t>Link from Debt</t>
  </si>
  <si>
    <t>DSCR</t>
  </si>
  <si>
    <t>Returns</t>
  </si>
  <si>
    <t>Equity cash flow</t>
  </si>
  <si>
    <t>Project cash flow (unlevered, after tax)</t>
  </si>
  <si>
    <t>For LCOE (discounted to financial close)</t>
  </si>
  <si>
    <t>Discounted capex</t>
  </si>
  <si>
    <t>Capex spend x discount factor</t>
  </si>
  <si>
    <t>Discounted O&amp;M</t>
  </si>
  <si>
    <t>O&amp;M x discount factor</t>
  </si>
  <si>
    <t>Discounted generation</t>
  </si>
  <si>
    <t>Generation x discount factor</t>
  </si>
  <si>
    <t>Outputs</t>
  </si>
  <si>
    <t>Metric</t>
  </si>
  <si>
    <t>Value</t>
  </si>
  <si>
    <t>Headline results</t>
  </si>
  <si>
    <t>Country</t>
  </si>
  <si>
    <t>Link to Inputs!D4</t>
  </si>
  <si>
    <t>LCOE</t>
  </si>
  <si>
    <t>Step 19: (disc. capex + disc. O&amp;M) / disc. generation</t>
  </si>
  <si>
    <t>LCOE / 10</t>
  </si>
  <si>
    <t>Link to Inputs</t>
  </si>
  <si>
    <t>Tariff minus LCOE</t>
  </si>
  <si>
    <t>Positive = tariff covers cost at this discount rate</t>
  </si>
  <si>
    <t>Project IRR (unlevered, after tax)</t>
  </si>
  <si>
    <t>IRR of project cash flow</t>
  </si>
  <si>
    <t>Equity IRR</t>
  </si>
  <si>
    <t>IRR of equity cash flow</t>
  </si>
  <si>
    <t>Project NPV at discount rate</t>
  </si>
  <si>
    <t>Remember NPV() treats the first value as one period out</t>
  </si>
  <si>
    <t>Minimum DSCR</t>
  </si>
  <si>
    <t>MIN of DSCR row</t>
  </si>
  <si>
    <t>Average DSCR</t>
  </si>
  <si>
    <t>AVERAGE of DSCR row</t>
  </si>
  <si>
    <t>Size and funding</t>
  </si>
  <si>
    <t>Total capex</t>
  </si>
  <si>
    <t>Capitalised interest during construction</t>
  </si>
  <si>
    <t>Total debt at COD</t>
  </si>
  <si>
    <t>Total equity</t>
  </si>
  <si>
    <t>Effective gearing at COD</t>
  </si>
  <si>
    <t>Above input gearing because of capitalised interest</t>
  </si>
  <si>
    <t>Year-1 generation</t>
  </si>
  <si>
    <t>Capacity factor (AC basis)</t>
  </si>
  <si>
    <t>Year-1 MWh / (MWac x 8,760)</t>
  </si>
  <si>
    <t>Solve-for (Data &gt; What-If Analysis &gt; Goal Seek; record results here)</t>
  </si>
  <si>
    <t>Tariff for target equity IRR</t>
  </si>
  <si>
    <t>Goal Seek: equity IRR = target by changing the KSA/UAE tariff input</t>
  </si>
  <si>
    <t>Tariff for target minimum DSCR</t>
  </si>
  <si>
    <t>Goal Seek: min DSCR = target</t>
  </si>
  <si>
    <t>Implied discount rate (LCOE = tariff)</t>
  </si>
  <si>
    <t>Goal Seek: tariff minus LCOE = 0 by changing the discount rate</t>
  </si>
  <si>
    <t>Scenarios (record results)</t>
  </si>
  <si>
    <t>LCOE: base</t>
  </si>
  <si>
    <t>LCOE: conflict premium (+70 bp)</t>
  </si>
  <si>
    <t>LCOE: severe (+130 bp)</t>
  </si>
  <si>
    <t>Sensitivity (for the tornado): equity IRR and LCOE at each input's low and high</t>
  </si>
  <si>
    <t>Driver</t>
  </si>
  <si>
    <t>Low input</t>
  </si>
  <si>
    <t>High input</t>
  </si>
  <si>
    <t>Discount rate</t>
  </si>
  <si>
    <t>Specific yield (+/-10%)</t>
  </si>
  <si>
    <t>Debt rate</t>
  </si>
  <si>
    <t>Gearing</t>
  </si>
  <si>
    <t>Checks</t>
  </si>
  <si>
    <t>Check</t>
  </si>
  <si>
    <t>Result (0 = OK)</t>
  </si>
  <si>
    <t>TOTAL (sum of all checks)</t>
  </si>
  <si>
    <t>SUM of the column below</t>
  </si>
  <si>
    <t>Capex phasing sums to 100%</t>
  </si>
  <si>
    <t>ABS(y1 + y2 - 1) &gt; 0.0001</t>
  </si>
  <si>
    <t>Sum of capex spend = total capex</t>
  </si>
  <si>
    <t>Debt closing balance = 0 at end of tenor</t>
  </si>
  <si>
    <t>ABS(final closing balance) &gt; 1</t>
  </si>
  <si>
    <t>Total principal repaid = debt at COD</t>
  </si>
  <si>
    <t>Year-1 generation = MWp x yield</t>
  </si>
  <si>
    <t>No revenue outside operating years</t>
  </si>
  <si>
    <t>No DSCR outside debt-repayment years</t>
  </si>
  <si>
    <t>NPV of equity cash flow at equity IRR = 0</t>
  </si>
  <si>
    <t>Use NPV on periods 2+ plus period 1</t>
  </si>
  <si>
    <t>1/(1+r)^(period);  valuation date is financial close</t>
  </si>
  <si>
    <t>Unlevered tax: KSA (income tax + zakat proxy)</t>
  </si>
  <si>
    <t>Unlevered tax: UAE</t>
  </si>
  <si>
    <t>LCOE low (US cents/kWh)</t>
  </si>
  <si>
    <t>LCOE high (US cents/kWh)</t>
  </si>
  <si>
    <t>Equity IRR low (%)</t>
  </si>
  <si>
    <t>Equity IRR high (%)</t>
  </si>
  <si>
    <t>Equity IRR swing (%)</t>
  </si>
  <si>
    <t>LCOE swing (US cents/kWh)</t>
  </si>
  <si>
    <t>Year 1 value</t>
  </si>
  <si>
    <t>Cumulative prior drawdowns (incl. capitalised interest) × rate × construction flag</t>
  </si>
  <si>
    <t>Each check returns 0 when fine, 1 when broken.</t>
  </si>
  <si>
    <t>Headline results for the selected country.</t>
  </si>
  <si>
    <t>Notes</t>
  </si>
  <si>
    <t>EBITDA - tax</t>
  </si>
  <si>
    <t>Debt years only (blank otherwise)</t>
  </si>
  <si>
    <t>-equity in construction; CFADS - debt service after</t>
  </si>
  <si>
    <t>-capex in construction; EBITDA - unlevered tax after</t>
  </si>
  <si>
    <t>base / project life, operating years</t>
  </si>
  <si>
    <t>EBITDA - interest - depreciation</t>
  </si>
  <si>
    <t>Threshold converted at AED 3.6725</t>
  </si>
  <si>
    <t>EBITDA - depreciation</t>
  </si>
  <si>
    <t>Capex x phasing x construction year</t>
  </si>
  <si>
    <t>Capex spend x gearing</t>
  </si>
  <si>
    <t>Capex spend - debt drawdown</t>
  </si>
  <si>
    <t>PMT on balance at COD x repayment flag</t>
  </si>
  <si>
    <t>Opening balance x rate, operating years</t>
  </si>
  <si>
    <t>Debt service - interest</t>
  </si>
  <si>
    <t>US cents/kWh x 10</t>
  </si>
  <si>
    <t>MWac x DC/AC</t>
  </si>
  <si>
    <t>MWp x yield x (1-degradation)^(operating year-1) x ops flag</t>
  </si>
  <si>
    <t>Generation, revenue and operating costs.</t>
  </si>
  <si>
    <t>Construction funding, interest during construction, and repayment.</t>
  </si>
  <si>
    <t>Depreciation and tax/zakat, levered and unlevered.</t>
  </si>
  <si>
    <t>Cash available for debt service, DSCR and the two return streams.</t>
  </si>
  <si>
    <t>Blue = input value. Column F ("Selected") is based on the country switch.</t>
  </si>
  <si>
    <t>KSA and UAE utility-scale solar PV.</t>
  </si>
  <si>
    <t>Formula</t>
  </si>
  <si>
    <t>Cell awaiting formula</t>
  </si>
  <si>
    <t>Construction period = 2 years (v1 lock)</t>
  </si>
  <si>
    <t>Only one country's tax is active</t>
  </si>
  <si>
    <t>Flat tariff and O&amp;M; all capacity reaches COD together (no phased COD); pro-rata debt/equity funding during construction; interest during construction capitalised into debt; no DSRA; no tax-loss carry-forward; zakat approximated as 2.5% of profit; construction period fixed at 2 years.</t>
  </si>
  <si>
    <t>Solar Project Finance: Excel answer key (v1)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</si>
</sst>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0.0%"/>
    <numFmt numFmtId="165" formatCode="0.000"/>
    <numFmt numFmtId="166" formatCode="0.0000"/>
    <numFmt numFmtId="167" formatCode="#,##0;\(#,##0\);\-"/>
    <numFmt numFmtId="168" formatCode="0.00\x"/>
    <numFmt numFmtId="169" formatCode="0.000;\(0.000\);\-"/>
    <numFmt numFmtId="170" formatCode="0.000000000000000"/>
  </numFmts>
  <fonts count="13" x14ac:knownFonts="1">
    <font>
      <sz val="11"/>
      <color theme="1"/>
      <name val="Calibri"/>
      <family val="2"/>
      <scheme val="minor"/>
    </font>
    <font>
      <b/>
      <sz val="14"/>
      <name val="Arial"/>
      <family val="2"/>
    </font>
    <font>
      <i/>
      <sz val="10"/>
      <color rgb="FF595959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10"/>
      <color rgb="FF0000FF"/>
      <name val="Arial"/>
      <family val="2"/>
    </font>
    <font>
      <sz val="10"/>
      <color rgb="FF008000"/>
      <name val="Arial"/>
      <family val="2"/>
    </font>
    <font>
      <b/>
      <sz val="10"/>
      <color rgb="FFFFFFFF"/>
      <name val="Arial"/>
      <family val="2"/>
    </font>
    <font>
      <sz val="11"/>
      <color theme="1"/>
      <name val="Calibri"/>
      <family val="2"/>
      <scheme val="minor"/>
    </font>
    <font>
      <sz val="11"/>
      <color rgb="FF008000"/>
      <name val="Calibri"/>
      <family val="2"/>
      <scheme val="minor"/>
    </font>
    <font>
      <sz val="10"/>
      <color rgb="FF595959"/>
      <name val="Arial"/>
      <family val="2"/>
    </font>
    <font>
      <sz val="11"/>
      <color rgb="FF0000FF"/>
      <name val="Calibri"/>
      <family val="2"/>
      <scheme val="minor"/>
    </font>
    <font>
      <b/>
      <sz val="10"/>
      <color theme="0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rgb="FFFFF2CC"/>
      </patternFill>
    </fill>
    <fill>
      <patternFill patternType="solid">
        <fgColor rgb="FFFFFF00"/>
      </patternFill>
    </fill>
    <fill>
      <patternFill patternType="solid">
        <fgColor rgb="FF1F6E43"/>
      </patternFill>
    </fill>
    <fill>
      <patternFill patternType="solid">
        <fgColor rgb="FFE2EFDA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1F6E43"/>
        <bgColor indexed="64"/>
      </patternFill>
    </fill>
    <fill>
      <patternFill patternType="solid">
        <fgColor rgb="FF134128"/>
        <bgColor indexed="64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">
    <xf numFmtId="0" fontId="0" fillId="0" borderId="0"/>
    <xf numFmtId="9" fontId="8" fillId="0" borderId="0" applyFont="0" applyFill="0" applyBorder="0" applyAlignment="0" applyProtection="0"/>
  </cellStyleXfs>
  <cellXfs count="71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4" fillId="0" borderId="0" xfId="0" applyFont="1" applyAlignment="1">
      <alignment vertical="top" wrapText="1"/>
    </xf>
    <xf numFmtId="0" fontId="5" fillId="0" borderId="0" xfId="0" applyFont="1"/>
    <xf numFmtId="0" fontId="6" fillId="0" borderId="0" xfId="0" applyFont="1"/>
    <xf numFmtId="0" fontId="4" fillId="2" borderId="0" xfId="0" applyFont="1" applyFill="1"/>
    <xf numFmtId="0" fontId="4" fillId="3" borderId="0" xfId="0" applyFont="1" applyFill="1"/>
    <xf numFmtId="0" fontId="5" fillId="3" borderId="1" xfId="0" applyFont="1" applyFill="1" applyBorder="1"/>
    <xf numFmtId="0" fontId="7" fillId="4" borderId="0" xfId="0" applyFont="1" applyFill="1" applyAlignment="1">
      <alignment horizontal="center" vertical="center" wrapText="1"/>
    </xf>
    <xf numFmtId="0" fontId="3" fillId="5" borderId="0" xfId="0" applyFont="1" applyFill="1"/>
    <xf numFmtId="0" fontId="0" fillId="5" borderId="0" xfId="0" applyFill="1"/>
    <xf numFmtId="3" fontId="5" fillId="0" borderId="1" xfId="0" applyNumberFormat="1" applyFont="1" applyBorder="1"/>
    <xf numFmtId="2" fontId="5" fillId="0" borderId="1" xfId="0" applyNumberFormat="1" applyFont="1" applyBorder="1"/>
    <xf numFmtId="164" fontId="5" fillId="0" borderId="1" xfId="0" applyNumberFormat="1" applyFont="1" applyBorder="1"/>
    <xf numFmtId="1" fontId="5" fillId="0" borderId="1" xfId="0" applyNumberFormat="1" applyFont="1" applyBorder="1"/>
    <xf numFmtId="165" fontId="5" fillId="0" borderId="1" xfId="0" applyNumberFormat="1" applyFont="1" applyBorder="1"/>
    <xf numFmtId="10" fontId="5" fillId="0" borderId="1" xfId="0" applyNumberFormat="1" applyFont="1" applyBorder="1"/>
    <xf numFmtId="166" fontId="5" fillId="0" borderId="1" xfId="0" applyNumberFormat="1" applyFont="1" applyBorder="1"/>
    <xf numFmtId="3" fontId="4" fillId="0" borderId="1" xfId="0" applyNumberFormat="1" applyFont="1" applyBorder="1"/>
    <xf numFmtId="2" fontId="4" fillId="0" borderId="1" xfId="0" applyNumberFormat="1" applyFont="1" applyBorder="1"/>
    <xf numFmtId="164" fontId="4" fillId="0" borderId="1" xfId="0" applyNumberFormat="1" applyFont="1" applyBorder="1"/>
    <xf numFmtId="1" fontId="4" fillId="0" borderId="1" xfId="0" applyNumberFormat="1" applyFont="1" applyBorder="1"/>
    <xf numFmtId="165" fontId="4" fillId="0" borderId="1" xfId="0" applyNumberFormat="1" applyFont="1" applyBorder="1"/>
    <xf numFmtId="10" fontId="4" fillId="0" borderId="1" xfId="0" applyNumberFormat="1" applyFont="1" applyBorder="1"/>
    <xf numFmtId="166" fontId="4" fillId="0" borderId="1" xfId="0" applyNumberFormat="1" applyFont="1" applyBorder="1"/>
    <xf numFmtId="1" fontId="0" fillId="0" borderId="0" xfId="0" applyNumberFormat="1"/>
    <xf numFmtId="1" fontId="6" fillId="0" borderId="0" xfId="0" applyNumberFormat="1" applyFont="1"/>
    <xf numFmtId="164" fontId="9" fillId="0" borderId="0" xfId="0" applyNumberFormat="1" applyFont="1"/>
    <xf numFmtId="9" fontId="0" fillId="0" borderId="0" xfId="1" applyFont="1" applyFill="1"/>
    <xf numFmtId="167" fontId="9" fillId="0" borderId="1" xfId="0" applyNumberFormat="1" applyFont="1" applyBorder="1"/>
    <xf numFmtId="3" fontId="9" fillId="0" borderId="1" xfId="0" applyNumberFormat="1" applyFont="1" applyBorder="1"/>
    <xf numFmtId="4" fontId="9" fillId="0" borderId="1" xfId="0" applyNumberFormat="1" applyFont="1" applyBorder="1"/>
    <xf numFmtId="4" fontId="0" fillId="0" borderId="0" xfId="0" applyNumberFormat="1"/>
    <xf numFmtId="167" fontId="0" fillId="0" borderId="0" xfId="0" applyNumberFormat="1"/>
    <xf numFmtId="167" fontId="0" fillId="0" borderId="1" xfId="0" applyNumberFormat="1" applyBorder="1"/>
    <xf numFmtId="167" fontId="9" fillId="0" borderId="0" xfId="0" applyNumberFormat="1" applyFont="1"/>
    <xf numFmtId="168" fontId="0" fillId="0" borderId="0" xfId="0" applyNumberFormat="1"/>
    <xf numFmtId="4" fontId="0" fillId="0" borderId="1" xfId="0" applyNumberFormat="1" applyBorder="1"/>
    <xf numFmtId="165" fontId="0" fillId="0" borderId="1" xfId="0" applyNumberFormat="1" applyBorder="1"/>
    <xf numFmtId="169" fontId="0" fillId="0" borderId="1" xfId="0" applyNumberFormat="1" applyBorder="1"/>
    <xf numFmtId="164" fontId="0" fillId="0" borderId="1" xfId="0" applyNumberFormat="1" applyBorder="1"/>
    <xf numFmtId="168" fontId="0" fillId="0" borderId="1" xfId="0" applyNumberFormat="1" applyBorder="1"/>
    <xf numFmtId="0" fontId="9" fillId="0" borderId="1" xfId="0" applyFont="1" applyBorder="1"/>
    <xf numFmtId="165" fontId="9" fillId="0" borderId="1" xfId="0" applyNumberFormat="1" applyFont="1" applyBorder="1"/>
    <xf numFmtId="0" fontId="9" fillId="6" borderId="1" xfId="0" applyFont="1" applyFill="1" applyBorder="1"/>
    <xf numFmtId="4" fontId="0" fillId="6" borderId="1" xfId="0" applyNumberFormat="1" applyFill="1" applyBorder="1"/>
    <xf numFmtId="165" fontId="0" fillId="6" borderId="1" xfId="0" applyNumberFormat="1" applyFill="1" applyBorder="1"/>
    <xf numFmtId="165" fontId="9" fillId="6" borderId="1" xfId="0" applyNumberFormat="1" applyFont="1" applyFill="1" applyBorder="1"/>
    <xf numFmtId="169" fontId="0" fillId="6" borderId="1" xfId="0" applyNumberFormat="1" applyFill="1" applyBorder="1"/>
    <xf numFmtId="164" fontId="0" fillId="6" borderId="1" xfId="0" applyNumberFormat="1" applyFill="1" applyBorder="1"/>
    <xf numFmtId="167" fontId="0" fillId="6" borderId="1" xfId="0" applyNumberFormat="1" applyFill="1" applyBorder="1"/>
    <xf numFmtId="168" fontId="0" fillId="6" borderId="1" xfId="0" applyNumberFormat="1" applyFill="1" applyBorder="1"/>
    <xf numFmtId="3" fontId="9" fillId="6" borderId="1" xfId="0" applyNumberFormat="1" applyFont="1" applyFill="1" applyBorder="1"/>
    <xf numFmtId="0" fontId="10" fillId="0" borderId="0" xfId="0" applyFont="1"/>
    <xf numFmtId="164" fontId="0" fillId="0" borderId="0" xfId="0" applyNumberFormat="1"/>
    <xf numFmtId="169" fontId="0" fillId="0" borderId="0" xfId="0" applyNumberFormat="1"/>
    <xf numFmtId="170" fontId="0" fillId="0" borderId="0" xfId="0" applyNumberFormat="1"/>
    <xf numFmtId="165" fontId="11" fillId="0" borderId="1" xfId="0" applyNumberFormat="1" applyFont="1" applyBorder="1"/>
    <xf numFmtId="164" fontId="11" fillId="0" borderId="1" xfId="0" applyNumberFormat="1" applyFont="1" applyBorder="1"/>
    <xf numFmtId="0" fontId="7" fillId="7" borderId="0" xfId="0" applyFont="1" applyFill="1" applyAlignment="1">
      <alignment horizontal="center" vertical="center" wrapText="1"/>
    </xf>
    <xf numFmtId="0" fontId="0" fillId="8" borderId="0" xfId="0" applyFill="1"/>
    <xf numFmtId="0" fontId="12" fillId="8" borderId="0" xfId="0" applyFont="1" applyFill="1"/>
    <xf numFmtId="1" fontId="9" fillId="0" borderId="1" xfId="0" applyNumberFormat="1" applyFont="1" applyBorder="1"/>
    <xf numFmtId="164" fontId="9" fillId="0" borderId="1" xfId="0" applyNumberFormat="1" applyFont="1" applyBorder="1"/>
    <xf numFmtId="10" fontId="9" fillId="0" borderId="1" xfId="0" applyNumberFormat="1" applyFont="1" applyBorder="1"/>
    <xf numFmtId="2" fontId="9" fillId="0" borderId="1" xfId="0" applyNumberFormat="1" applyFont="1" applyBorder="1"/>
    <xf numFmtId="1" fontId="0" fillId="0" borderId="1" xfId="0" applyNumberFormat="1" applyBorder="1"/>
    <xf numFmtId="0" fontId="2" fillId="0" borderId="0" xfId="0" quotePrefix="1" applyFont="1"/>
  </cellXfs>
  <cellStyles count="2">
    <cellStyle name="Normal" xfId="0" builtinId="0"/>
    <cellStyle name="Per cent" xfId="1" builtinId="5"/>
  </cellStyles>
  <dxfs count="0"/>
  <tableStyles count="0" defaultTableStyle="TableStyleMedium9" defaultPivotStyle="PivotStyleLight16"/>
  <colors>
    <mruColors>
      <color rgb="FF0000FF"/>
      <color rgb="FF134128"/>
      <color rgb="FF1F6E43"/>
      <color rgb="FF008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2" Type="http://schemas.microsoft.com/office/2011/relationships/webextension" Target="webextension2.xml"/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0">
    <wetp:webextensionref xmlns:r="http://schemas.openxmlformats.org/officeDocument/2006/relationships" r:id="rId1"/>
  </wetp:taskpane>
  <wetp:taskpane dockstate="right" visibility="0" width="350" row="0">
    <wetp:webextensionref xmlns:r="http://schemas.openxmlformats.org/officeDocument/2006/relationships" r:id="rId2"/>
  </wetp:taskpane>
</wetp:taskpanes>
</file>

<file path=xl/webextensions/webextension1.xml><?xml version="1.0" encoding="utf-8"?>
<we:webextension xmlns:we="http://schemas.microsoft.com/office/webextensions/webextension/2010/11" id="{3617A867-0536-B147-B4FA-453489B0EB1A}">
  <we:reference id="wa200010215" version="2.0.0.0" store="en-GB" storeType="OMEX"/>
  <we:alternateReferences>
    <we:reference id="wa200010215" version="2.0.0.0" store="wa200010215" storeType="OMEX"/>
  </we:alternateReferences>
  <we:properties>
    <we:property name="bps.codex_control.document_id" value="&quot;f5d9f0f4-a9d1-46d8-b3d1-9ae7755ffc28&quot;"/>
  </we:properties>
  <we:bindings/>
  <we:snapshot xmlns:r="http://schemas.openxmlformats.org/officeDocument/2006/relationships"/>
</we:webextension>
</file>

<file path=xl/webextensions/webextension2.xml><?xml version="1.0" encoding="utf-8"?>
<we:webextension xmlns:we="http://schemas.microsoft.com/office/webextensions/webextension/2010/11" id="{03DD4313-065F-4F48-A34E-2D60E196CB6E}">
  <we:reference id="wa200010725" version="1.0.0.1" store="en-GB" storeType="OMEX"/>
  <we:alternateReferences>
    <we:reference id="WA200010725" version="1.0.0.1" store="WA200010725" storeType="OMEX"/>
  </we:alternateReferences>
  <we:properties>
    <we:property name="claude.fileId" value="&quot;cf64a6a8-2e3b-4166-a92e-a99adec67845&quot;"/>
  </we:properties>
  <we:bindings/>
  <we:snapshot xmlns:r="http://schemas.openxmlformats.org/officeDocument/2006/relationships"/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C17"/>
  <sheetViews>
    <sheetView showGridLines="0" zoomScale="80" zoomScaleNormal="80" workbookViewId="0">
      <selection activeCell="A36" sqref="A36"/>
    </sheetView>
  </sheetViews>
  <sheetFormatPr baseColWidth="10" defaultColWidth="8.83203125" defaultRowHeight="15" x14ac:dyDescent="0.2"/>
  <cols>
    <col min="2" max="2" width="24" customWidth="1"/>
    <col min="3" max="3" width="110" customWidth="1"/>
  </cols>
  <sheetData>
    <row r="1" spans="2:3" ht="18" x14ac:dyDescent="0.2">
      <c r="B1" s="1" t="s">
        <v>363</v>
      </c>
    </row>
    <row r="2" spans="2:3" x14ac:dyDescent="0.2">
      <c r="B2" s="2" t="s">
        <v>357</v>
      </c>
    </row>
    <row r="4" spans="2:3" x14ac:dyDescent="0.2">
      <c r="B4" s="3" t="s">
        <v>4</v>
      </c>
    </row>
    <row r="5" spans="2:3" x14ac:dyDescent="0.2">
      <c r="B5" s="6" t="s">
        <v>5</v>
      </c>
      <c r="C5" s="5" t="s">
        <v>6</v>
      </c>
    </row>
    <row r="6" spans="2:3" x14ac:dyDescent="0.2">
      <c r="B6" s="4" t="s">
        <v>7</v>
      </c>
      <c r="C6" s="5" t="s">
        <v>358</v>
      </c>
    </row>
    <row r="7" spans="2:3" x14ac:dyDescent="0.2">
      <c r="B7" s="7" t="s">
        <v>8</v>
      </c>
      <c r="C7" s="5" t="s">
        <v>9</v>
      </c>
    </row>
    <row r="8" spans="2:3" x14ac:dyDescent="0.2">
      <c r="B8" s="8" t="s">
        <v>10</v>
      </c>
      <c r="C8" s="5" t="s">
        <v>359</v>
      </c>
    </row>
    <row r="9" spans="2:3" x14ac:dyDescent="0.2">
      <c r="B9" s="9" t="s">
        <v>11</v>
      </c>
      <c r="C9" s="5" t="s">
        <v>12</v>
      </c>
    </row>
    <row r="11" spans="2:3" x14ac:dyDescent="0.2">
      <c r="B11" s="3" t="s">
        <v>13</v>
      </c>
    </row>
    <row r="12" spans="2:3" x14ac:dyDescent="0.2">
      <c r="B12" s="4" t="s">
        <v>14</v>
      </c>
      <c r="C12" s="5" t="s">
        <v>15</v>
      </c>
    </row>
    <row r="13" spans="2:3" x14ac:dyDescent="0.2">
      <c r="B13" s="4" t="s">
        <v>16</v>
      </c>
      <c r="C13" s="5" t="s">
        <v>17</v>
      </c>
    </row>
    <row r="14" spans="2:3" x14ac:dyDescent="0.2">
      <c r="B14" s="4" t="s">
        <v>18</v>
      </c>
      <c r="C14" s="5" t="s">
        <v>19</v>
      </c>
    </row>
    <row r="15" spans="2:3" x14ac:dyDescent="0.2">
      <c r="B15" s="4" t="s">
        <v>20</v>
      </c>
      <c r="C15" s="5" t="s">
        <v>21</v>
      </c>
    </row>
    <row r="16" spans="2:3" x14ac:dyDescent="0.2">
      <c r="B16" s="4" t="s">
        <v>22</v>
      </c>
      <c r="C16" s="5" t="s">
        <v>23</v>
      </c>
    </row>
    <row r="17" spans="2:3" ht="26" customHeight="1" x14ac:dyDescent="0.2">
      <c r="B17" s="4" t="s">
        <v>24</v>
      </c>
      <c r="C17" s="5" t="s">
        <v>362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43"/>
  <sheetViews>
    <sheetView showGridLines="0" zoomScale="80" zoomScaleNormal="80" workbookViewId="0">
      <pane xSplit="3" ySplit="6" topLeftCell="D10" activePane="bottomRight" state="frozen"/>
      <selection pane="topRight"/>
      <selection pane="bottomLeft"/>
      <selection pane="bottomRight" activeCell="G34" sqref="G34"/>
    </sheetView>
  </sheetViews>
  <sheetFormatPr baseColWidth="10" defaultColWidth="8.83203125" defaultRowHeight="15" x14ac:dyDescent="0.2"/>
  <cols>
    <col min="1" max="1" width="34" customWidth="1"/>
    <col min="2" max="2" width="24" customWidth="1"/>
    <col min="3" max="3" width="15" customWidth="1"/>
    <col min="4" max="6" width="11" customWidth="1"/>
    <col min="7" max="8" width="9" customWidth="1"/>
    <col min="9" max="9" width="16" customWidth="1"/>
    <col min="10" max="10" width="90" customWidth="1"/>
  </cols>
  <sheetData>
    <row r="1" spans="1:10" ht="18" x14ac:dyDescent="0.2">
      <c r="A1" s="1" t="s">
        <v>25</v>
      </c>
    </row>
    <row r="2" spans="1:10" x14ac:dyDescent="0.2">
      <c r="A2" s="2" t="s">
        <v>356</v>
      </c>
    </row>
    <row r="4" spans="1:10" x14ac:dyDescent="0.2">
      <c r="A4" s="3" t="s">
        <v>26</v>
      </c>
      <c r="D4" s="10" t="s">
        <v>32</v>
      </c>
      <c r="E4" s="2" t="s">
        <v>28</v>
      </c>
    </row>
    <row r="6" spans="1:10" x14ac:dyDescent="0.2">
      <c r="A6" s="11" t="s">
        <v>29</v>
      </c>
      <c r="B6" s="11" t="s">
        <v>30</v>
      </c>
      <c r="C6" s="11" t="s">
        <v>31</v>
      </c>
      <c r="D6" s="11" t="s">
        <v>27</v>
      </c>
      <c r="E6" s="11" t="s">
        <v>32</v>
      </c>
      <c r="F6" s="11" t="s">
        <v>33</v>
      </c>
      <c r="G6" s="11" t="s">
        <v>34</v>
      </c>
      <c r="H6" s="11" t="s">
        <v>35</v>
      </c>
      <c r="I6" s="11" t="s">
        <v>36</v>
      </c>
      <c r="J6" s="11" t="s">
        <v>37</v>
      </c>
    </row>
    <row r="7" spans="1:10" x14ac:dyDescent="0.2">
      <c r="A7" s="12" t="s">
        <v>38</v>
      </c>
      <c r="B7" s="13"/>
      <c r="C7" s="13"/>
      <c r="D7" s="13"/>
      <c r="E7" s="13"/>
      <c r="F7" s="13"/>
      <c r="G7" s="13"/>
      <c r="H7" s="13"/>
      <c r="I7" s="13"/>
      <c r="J7" s="13"/>
    </row>
    <row r="8" spans="1:10" x14ac:dyDescent="0.2">
      <c r="A8" s="4" t="s">
        <v>39</v>
      </c>
      <c r="B8" s="4" t="s">
        <v>40</v>
      </c>
      <c r="C8" s="4" t="s">
        <v>41</v>
      </c>
      <c r="D8" s="14">
        <v>1000</v>
      </c>
      <c r="E8" s="14">
        <v>1000</v>
      </c>
      <c r="F8" s="21">
        <f>+_xlfn.XLOOKUP($D$4,$D$6:$E$6,D8:E8)</f>
        <v>1000</v>
      </c>
      <c r="G8" s="14"/>
      <c r="H8" s="14"/>
      <c r="I8" s="4" t="s">
        <v>42</v>
      </c>
      <c r="J8" s="5" t="s">
        <v>43</v>
      </c>
    </row>
    <row r="9" spans="1:10" x14ac:dyDescent="0.2">
      <c r="A9" s="4" t="s">
        <v>44</v>
      </c>
      <c r="B9" s="4" t="s">
        <v>45</v>
      </c>
      <c r="C9" s="4" t="s">
        <v>46</v>
      </c>
      <c r="D9" s="15">
        <v>1.3</v>
      </c>
      <c r="E9" s="15">
        <v>1.3</v>
      </c>
      <c r="F9" s="22">
        <f t="shared" ref="F9" si="0">+_xlfn.XLOOKUP($D$4,$D$6:$E$6,D9:E9)</f>
        <v>1.3</v>
      </c>
      <c r="G9" s="15">
        <v>1.2</v>
      </c>
      <c r="H9" s="15">
        <v>1.4</v>
      </c>
      <c r="I9" s="4" t="s">
        <v>47</v>
      </c>
      <c r="J9" s="5" t="s">
        <v>48</v>
      </c>
    </row>
    <row r="10" spans="1:10" ht="28" x14ac:dyDescent="0.2">
      <c r="A10" s="4" t="s">
        <v>49</v>
      </c>
      <c r="B10" s="4" t="s">
        <v>50</v>
      </c>
      <c r="C10" s="4" t="s">
        <v>51</v>
      </c>
      <c r="D10" s="14">
        <v>2420</v>
      </c>
      <c r="E10" s="14">
        <v>2240</v>
      </c>
      <c r="F10" s="21">
        <f>+_xlfn.XLOOKUP($D$4,$D$6:$E$6,D10:E10)</f>
        <v>2240</v>
      </c>
      <c r="G10" s="14"/>
      <c r="H10" s="14"/>
      <c r="I10" s="4" t="s">
        <v>52</v>
      </c>
      <c r="J10" s="5" t="s">
        <v>53</v>
      </c>
    </row>
    <row r="11" spans="1:10" x14ac:dyDescent="0.2">
      <c r="A11" s="4" t="s">
        <v>54</v>
      </c>
      <c r="B11" s="4" t="s">
        <v>55</v>
      </c>
      <c r="C11" s="4" t="s">
        <v>56</v>
      </c>
      <c r="D11" s="16">
        <v>5.0000000000000001E-3</v>
      </c>
      <c r="E11" s="16">
        <v>5.0000000000000001E-3</v>
      </c>
      <c r="F11" s="23">
        <f>+_xlfn.XLOOKUP($D$4,$D$6:$E$6,D11:E11)</f>
        <v>5.0000000000000001E-3</v>
      </c>
      <c r="G11" s="16">
        <v>5.0000000000000001E-3</v>
      </c>
      <c r="H11" s="16">
        <v>7.0000000000000001E-3</v>
      </c>
      <c r="I11" s="4" t="s">
        <v>57</v>
      </c>
      <c r="J11" s="5" t="s">
        <v>58</v>
      </c>
    </row>
    <row r="12" spans="1:10" x14ac:dyDescent="0.2">
      <c r="A12" s="12" t="s">
        <v>59</v>
      </c>
      <c r="B12" s="13"/>
      <c r="C12" s="13"/>
      <c r="D12" s="13"/>
      <c r="E12" s="13"/>
      <c r="F12" s="13"/>
      <c r="G12" s="13"/>
      <c r="H12" s="13"/>
      <c r="I12" s="13"/>
      <c r="J12" s="13"/>
    </row>
    <row r="13" spans="1:10" ht="28" x14ac:dyDescent="0.2">
      <c r="A13" s="4" t="s">
        <v>60</v>
      </c>
      <c r="B13" s="4" t="s">
        <v>61</v>
      </c>
      <c r="C13" s="4" t="s">
        <v>62</v>
      </c>
      <c r="D13" s="17">
        <v>2</v>
      </c>
      <c r="E13" s="17">
        <v>2</v>
      </c>
      <c r="F13" s="24">
        <f>+_xlfn.XLOOKUP($D$4,$D$6:$E$6,D13:E13)</f>
        <v>2</v>
      </c>
      <c r="G13" s="17"/>
      <c r="H13" s="17"/>
      <c r="I13" s="4" t="s">
        <v>47</v>
      </c>
      <c r="J13" s="5" t="s">
        <v>63</v>
      </c>
    </row>
    <row r="14" spans="1:10" x14ac:dyDescent="0.2">
      <c r="A14" s="4" t="s">
        <v>64</v>
      </c>
      <c r="B14" s="4" t="s">
        <v>65</v>
      </c>
      <c r="C14" s="4" t="s">
        <v>66</v>
      </c>
      <c r="D14" s="16">
        <v>0.4</v>
      </c>
      <c r="E14" s="16">
        <v>0.4</v>
      </c>
      <c r="F14" s="23">
        <f>+_xlfn.XLOOKUP($D$4,$D$6:$E$6,D14:E14)</f>
        <v>0.4</v>
      </c>
      <c r="G14" s="16"/>
      <c r="H14" s="16"/>
      <c r="I14" s="4" t="s">
        <v>47</v>
      </c>
      <c r="J14" s="5" t="s">
        <v>67</v>
      </c>
    </row>
    <row r="15" spans="1:10" x14ac:dyDescent="0.2">
      <c r="A15" s="4" t="s">
        <v>68</v>
      </c>
      <c r="B15" s="4" t="s">
        <v>69</v>
      </c>
      <c r="C15" s="4" t="s">
        <v>66</v>
      </c>
      <c r="D15" s="16">
        <v>0.6</v>
      </c>
      <c r="E15" s="16">
        <v>0.6</v>
      </c>
      <c r="F15" s="23">
        <f>+_xlfn.XLOOKUP($D$4,$D$6:$E$6,D15:E15)</f>
        <v>0.6</v>
      </c>
      <c r="G15" s="16"/>
      <c r="H15" s="16"/>
      <c r="I15" s="4" t="s">
        <v>47</v>
      </c>
      <c r="J15" s="5" t="s">
        <v>70</v>
      </c>
    </row>
    <row r="16" spans="1:10" x14ac:dyDescent="0.2">
      <c r="A16" s="12" t="s">
        <v>71</v>
      </c>
      <c r="B16" s="13"/>
      <c r="C16" s="13"/>
      <c r="D16" s="13"/>
      <c r="E16" s="13"/>
      <c r="F16" s="13"/>
      <c r="G16" s="13"/>
      <c r="H16" s="13"/>
      <c r="I16" s="13"/>
      <c r="J16" s="13"/>
    </row>
    <row r="17" spans="1:10" ht="28" x14ac:dyDescent="0.2">
      <c r="A17" s="4" t="s">
        <v>72</v>
      </c>
      <c r="B17" s="4" t="s">
        <v>73</v>
      </c>
      <c r="C17" s="4" t="s">
        <v>74</v>
      </c>
      <c r="D17" s="17">
        <v>550</v>
      </c>
      <c r="E17" s="17">
        <v>550</v>
      </c>
      <c r="F17" s="24">
        <f t="shared" ref="F17:F18" si="1">+_xlfn.XLOOKUP($D$4,$D$6:$E$6,D17:E17)</f>
        <v>550</v>
      </c>
      <c r="G17" s="17">
        <v>450</v>
      </c>
      <c r="H17" s="17">
        <v>725</v>
      </c>
      <c r="I17" s="4" t="s">
        <v>47</v>
      </c>
      <c r="J17" s="5" t="s">
        <v>75</v>
      </c>
    </row>
    <row r="18" spans="1:10" ht="28" x14ac:dyDescent="0.2">
      <c r="A18" s="4" t="s">
        <v>76</v>
      </c>
      <c r="B18" s="4" t="s">
        <v>77</v>
      </c>
      <c r="C18" s="4" t="s">
        <v>78</v>
      </c>
      <c r="D18" s="17">
        <v>11</v>
      </c>
      <c r="E18" s="17">
        <v>11</v>
      </c>
      <c r="F18" s="24">
        <f t="shared" si="1"/>
        <v>11</v>
      </c>
      <c r="G18" s="17">
        <v>9</v>
      </c>
      <c r="H18" s="17">
        <v>27</v>
      </c>
      <c r="I18" s="4" t="s">
        <v>57</v>
      </c>
      <c r="J18" s="5" t="s">
        <v>79</v>
      </c>
    </row>
    <row r="19" spans="1:10" x14ac:dyDescent="0.2">
      <c r="A19" s="12" t="s">
        <v>80</v>
      </c>
      <c r="B19" s="13"/>
      <c r="C19" s="13"/>
      <c r="D19" s="13"/>
      <c r="E19" s="13"/>
      <c r="F19" s="13"/>
      <c r="G19" s="13"/>
      <c r="H19" s="13"/>
      <c r="I19" s="13"/>
      <c r="J19" s="13"/>
    </row>
    <row r="20" spans="1:10" x14ac:dyDescent="0.2">
      <c r="A20" s="4" t="s">
        <v>81</v>
      </c>
      <c r="B20" s="4" t="s">
        <v>82</v>
      </c>
      <c r="C20" s="4" t="s">
        <v>83</v>
      </c>
      <c r="D20" s="18">
        <v>1.3</v>
      </c>
      <c r="E20" s="18">
        <v>1.41</v>
      </c>
      <c r="F20" s="25">
        <f t="shared" ref="F20:F21" si="2">+_xlfn.XLOOKUP($D$4,$D$6:$E$6,D20:E20)</f>
        <v>1.41</v>
      </c>
      <c r="G20" s="18"/>
      <c r="H20" s="18"/>
      <c r="I20" s="4" t="s">
        <v>57</v>
      </c>
      <c r="J20" s="5" t="s">
        <v>84</v>
      </c>
    </row>
    <row r="21" spans="1:10" x14ac:dyDescent="0.2">
      <c r="A21" s="4" t="s">
        <v>85</v>
      </c>
      <c r="B21" s="4" t="s">
        <v>86</v>
      </c>
      <c r="C21" s="4" t="s">
        <v>62</v>
      </c>
      <c r="D21" s="17">
        <v>35</v>
      </c>
      <c r="E21" s="17">
        <v>30</v>
      </c>
      <c r="F21" s="24">
        <f t="shared" si="2"/>
        <v>30</v>
      </c>
      <c r="G21" s="17">
        <v>25</v>
      </c>
      <c r="H21" s="17">
        <v>35</v>
      </c>
      <c r="I21" s="4" t="s">
        <v>57</v>
      </c>
      <c r="J21" s="5" t="s">
        <v>87</v>
      </c>
    </row>
    <row r="22" spans="1:10" x14ac:dyDescent="0.2">
      <c r="A22" s="12" t="s">
        <v>88</v>
      </c>
      <c r="B22" s="13"/>
      <c r="C22" s="13"/>
      <c r="D22" s="13"/>
      <c r="E22" s="13"/>
      <c r="F22" s="13"/>
      <c r="G22" s="13"/>
      <c r="H22" s="13"/>
      <c r="I22" s="13"/>
      <c r="J22" s="13"/>
    </row>
    <row r="23" spans="1:10" x14ac:dyDescent="0.2">
      <c r="A23" s="4" t="s">
        <v>89</v>
      </c>
      <c r="B23" s="4" t="s">
        <v>90</v>
      </c>
      <c r="C23" s="4" t="s">
        <v>91</v>
      </c>
      <c r="D23" s="16">
        <v>0.72</v>
      </c>
      <c r="E23" s="16">
        <v>0.72</v>
      </c>
      <c r="F23" s="23">
        <f t="shared" ref="F23:F32" si="3">+_xlfn.XLOOKUP($D$4,$D$6:$E$6,D23:E23)</f>
        <v>0.72</v>
      </c>
      <c r="G23" s="16">
        <v>0.65</v>
      </c>
      <c r="H23" s="16">
        <v>0.8</v>
      </c>
      <c r="I23" s="4" t="s">
        <v>52</v>
      </c>
      <c r="J23" s="5" t="s">
        <v>92</v>
      </c>
    </row>
    <row r="24" spans="1:10" x14ac:dyDescent="0.2">
      <c r="A24" s="4" t="s">
        <v>93</v>
      </c>
      <c r="B24" s="4" t="s">
        <v>94</v>
      </c>
      <c r="C24" s="4" t="s">
        <v>62</v>
      </c>
      <c r="D24" s="17">
        <v>30</v>
      </c>
      <c r="E24" s="17">
        <v>27</v>
      </c>
      <c r="F24" s="24">
        <f t="shared" ref="F24" si="4">+_xlfn.XLOOKUP($D$4,$D$6:$E$6,D24:E24)</f>
        <v>27</v>
      </c>
      <c r="G24" s="17"/>
      <c r="H24" s="17"/>
      <c r="I24" s="4" t="s">
        <v>47</v>
      </c>
      <c r="J24" s="5" t="s">
        <v>95</v>
      </c>
    </row>
    <row r="25" spans="1:10" x14ac:dyDescent="0.2">
      <c r="A25" s="4" t="s">
        <v>96</v>
      </c>
      <c r="B25" s="4" t="s">
        <v>97</v>
      </c>
      <c r="C25" s="4" t="s">
        <v>91</v>
      </c>
      <c r="D25" s="19">
        <v>6.0999999999999999E-2</v>
      </c>
      <c r="E25" s="19">
        <v>6.0999999999999999E-2</v>
      </c>
      <c r="F25" s="26">
        <f t="shared" si="3"/>
        <v>6.0999999999999999E-2</v>
      </c>
      <c r="G25" s="19">
        <v>0.05</v>
      </c>
      <c r="H25" s="19">
        <v>7.4999999999999997E-2</v>
      </c>
      <c r="I25" s="4" t="s">
        <v>47</v>
      </c>
      <c r="J25" s="5" t="s">
        <v>98</v>
      </c>
    </row>
    <row r="26" spans="1:10" x14ac:dyDescent="0.2">
      <c r="A26" s="12" t="s">
        <v>99</v>
      </c>
      <c r="B26" s="13"/>
      <c r="C26" s="13"/>
      <c r="D26" s="13"/>
      <c r="E26" s="13"/>
      <c r="F26" s="13"/>
      <c r="G26" s="13"/>
      <c r="H26" s="13"/>
      <c r="I26" s="13"/>
      <c r="J26" s="13"/>
    </row>
    <row r="27" spans="1:10" x14ac:dyDescent="0.2">
      <c r="A27" s="4" t="s">
        <v>100</v>
      </c>
      <c r="B27" s="4" t="s">
        <v>101</v>
      </c>
      <c r="C27" s="4" t="s">
        <v>91</v>
      </c>
      <c r="D27" s="16">
        <v>0.2</v>
      </c>
      <c r="E27" s="16"/>
      <c r="F27" s="23">
        <f t="shared" si="3"/>
        <v>0</v>
      </c>
      <c r="G27" s="16"/>
      <c r="H27" s="16"/>
      <c r="I27" s="4" t="s">
        <v>57</v>
      </c>
      <c r="J27" s="5" t="s">
        <v>102</v>
      </c>
    </row>
    <row r="28" spans="1:10" x14ac:dyDescent="0.2">
      <c r="A28" s="4" t="s">
        <v>103</v>
      </c>
      <c r="B28" s="4" t="s">
        <v>104</v>
      </c>
      <c r="C28" s="4" t="s">
        <v>91</v>
      </c>
      <c r="D28" s="16">
        <v>2.5000000000000001E-2</v>
      </c>
      <c r="E28" s="16"/>
      <c r="F28" s="23">
        <f t="shared" si="3"/>
        <v>0</v>
      </c>
      <c r="G28" s="16"/>
      <c r="H28" s="16"/>
      <c r="I28" s="4" t="s">
        <v>57</v>
      </c>
      <c r="J28" s="5" t="s">
        <v>105</v>
      </c>
    </row>
    <row r="29" spans="1:10" x14ac:dyDescent="0.2">
      <c r="A29" s="4" t="s">
        <v>106</v>
      </c>
      <c r="B29" s="4" t="s">
        <v>107</v>
      </c>
      <c r="C29" s="4" t="s">
        <v>91</v>
      </c>
      <c r="D29" s="16">
        <v>0.5</v>
      </c>
      <c r="E29" s="16"/>
      <c r="F29" s="23">
        <f t="shared" si="3"/>
        <v>0</v>
      </c>
      <c r="G29" s="16">
        <v>0</v>
      </c>
      <c r="H29" s="16">
        <v>1</v>
      </c>
      <c r="I29" s="4" t="s">
        <v>42</v>
      </c>
      <c r="J29" s="5" t="s">
        <v>108</v>
      </c>
    </row>
    <row r="30" spans="1:10" x14ac:dyDescent="0.2">
      <c r="A30" s="4" t="s">
        <v>109</v>
      </c>
      <c r="B30" s="4" t="s">
        <v>110</v>
      </c>
      <c r="C30" s="4" t="s">
        <v>91</v>
      </c>
      <c r="D30" s="16"/>
      <c r="E30" s="16">
        <v>0.09</v>
      </c>
      <c r="F30" s="23">
        <f t="shared" si="3"/>
        <v>0.09</v>
      </c>
      <c r="G30" s="16"/>
      <c r="H30" s="16"/>
      <c r="I30" s="4" t="s">
        <v>57</v>
      </c>
      <c r="J30" s="5" t="s">
        <v>111</v>
      </c>
    </row>
    <row r="31" spans="1:10" x14ac:dyDescent="0.2">
      <c r="A31" s="4" t="s">
        <v>112</v>
      </c>
      <c r="B31" s="4" t="s">
        <v>113</v>
      </c>
      <c r="C31" s="4" t="s">
        <v>114</v>
      </c>
      <c r="D31" s="14"/>
      <c r="E31" s="14">
        <v>375000</v>
      </c>
      <c r="F31" s="21">
        <f t="shared" si="3"/>
        <v>375000</v>
      </c>
      <c r="G31" s="14"/>
      <c r="H31" s="14"/>
      <c r="I31" s="4" t="s">
        <v>57</v>
      </c>
      <c r="J31" s="5" t="s">
        <v>115</v>
      </c>
    </row>
    <row r="32" spans="1:10" x14ac:dyDescent="0.2">
      <c r="A32" s="4" t="s">
        <v>116</v>
      </c>
      <c r="B32" s="4" t="s">
        <v>117</v>
      </c>
      <c r="C32" s="4" t="s">
        <v>114</v>
      </c>
      <c r="D32" s="20"/>
      <c r="E32" s="20">
        <v>3.6724999999999999</v>
      </c>
      <c r="F32" s="27">
        <f t="shared" si="3"/>
        <v>3.6724999999999999</v>
      </c>
      <c r="G32" s="20"/>
      <c r="H32" s="20"/>
      <c r="I32" s="4" t="s">
        <v>57</v>
      </c>
      <c r="J32" s="5" t="s">
        <v>118</v>
      </c>
    </row>
    <row r="33" spans="1:10" x14ac:dyDescent="0.2">
      <c r="A33" s="12" t="s">
        <v>119</v>
      </c>
      <c r="B33" s="13"/>
      <c r="C33" s="13"/>
      <c r="D33" s="13"/>
      <c r="E33" s="13"/>
      <c r="F33" s="13"/>
      <c r="G33" s="13"/>
      <c r="H33" s="13"/>
      <c r="I33" s="13"/>
      <c r="J33" s="13"/>
    </row>
    <row r="34" spans="1:10" ht="28" x14ac:dyDescent="0.2">
      <c r="A34" s="4" t="s">
        <v>120</v>
      </c>
      <c r="B34" s="4" t="s">
        <v>121</v>
      </c>
      <c r="C34" s="4" t="s">
        <v>91</v>
      </c>
      <c r="D34" s="16">
        <v>7.6999999999999999E-2</v>
      </c>
      <c r="E34" s="16">
        <v>7.4999999999999997E-2</v>
      </c>
      <c r="F34" s="23">
        <f t="shared" ref="F34:F37" si="5">+_xlfn.XLOOKUP($D$4,$D$6:$E$6,D34:E34)</f>
        <v>7.4999999999999997E-2</v>
      </c>
      <c r="G34" s="16">
        <v>0.06</v>
      </c>
      <c r="H34" s="16">
        <v>0.09</v>
      </c>
      <c r="I34" s="4" t="s">
        <v>122</v>
      </c>
      <c r="J34" s="5" t="s">
        <v>123</v>
      </c>
    </row>
    <row r="35" spans="1:10" x14ac:dyDescent="0.2">
      <c r="A35" s="4" t="s">
        <v>124</v>
      </c>
      <c r="B35" s="4" t="s">
        <v>125</v>
      </c>
      <c r="C35" s="4" t="s">
        <v>62</v>
      </c>
      <c r="D35" s="17">
        <v>35</v>
      </c>
      <c r="E35" s="17">
        <v>30</v>
      </c>
      <c r="F35" s="24">
        <f t="shared" si="5"/>
        <v>30</v>
      </c>
      <c r="G35" s="17"/>
      <c r="H35" s="17"/>
      <c r="I35" s="4" t="s">
        <v>47</v>
      </c>
      <c r="J35" s="5" t="s">
        <v>126</v>
      </c>
    </row>
    <row r="36" spans="1:10" x14ac:dyDescent="0.2">
      <c r="A36" s="4" t="s">
        <v>127</v>
      </c>
      <c r="B36" s="4" t="s">
        <v>128</v>
      </c>
      <c r="C36" s="4" t="s">
        <v>91</v>
      </c>
      <c r="D36" s="16">
        <v>0.08</v>
      </c>
      <c r="E36" s="16">
        <v>0.08</v>
      </c>
      <c r="F36" s="23">
        <f t="shared" si="5"/>
        <v>0.08</v>
      </c>
      <c r="G36" s="16"/>
      <c r="H36" s="16"/>
      <c r="I36" s="4" t="s">
        <v>47</v>
      </c>
      <c r="J36" s="5" t="s">
        <v>129</v>
      </c>
    </row>
    <row r="37" spans="1:10" x14ac:dyDescent="0.2">
      <c r="A37" s="4" t="s">
        <v>130</v>
      </c>
      <c r="B37" s="4" t="s">
        <v>131</v>
      </c>
      <c r="C37" s="4" t="s">
        <v>46</v>
      </c>
      <c r="D37" s="15">
        <v>1.2</v>
      </c>
      <c r="E37" s="15">
        <v>1.2</v>
      </c>
      <c r="F37" s="22">
        <f t="shared" si="5"/>
        <v>1.2</v>
      </c>
      <c r="G37" s="15"/>
      <c r="H37" s="15"/>
      <c r="I37" s="4" t="s">
        <v>47</v>
      </c>
      <c r="J37" s="5" t="s">
        <v>132</v>
      </c>
    </row>
    <row r="38" spans="1:10" x14ac:dyDescent="0.2">
      <c r="A38" s="12" t="s">
        <v>133</v>
      </c>
      <c r="B38" s="13"/>
      <c r="C38" s="13"/>
      <c r="D38" s="13"/>
      <c r="E38" s="13"/>
      <c r="F38" s="13"/>
      <c r="G38" s="13"/>
      <c r="H38" s="13"/>
      <c r="I38" s="13"/>
      <c r="J38" s="13"/>
    </row>
    <row r="39" spans="1:10" x14ac:dyDescent="0.2">
      <c r="A39" s="4" t="s">
        <v>134</v>
      </c>
      <c r="B39" s="4" t="s">
        <v>135</v>
      </c>
      <c r="C39" s="4" t="s">
        <v>136</v>
      </c>
      <c r="D39" s="17">
        <v>70</v>
      </c>
      <c r="E39" s="17">
        <v>70</v>
      </c>
      <c r="F39" s="24">
        <f t="shared" ref="F39:F40" si="6">+_xlfn.XLOOKUP($D$4,$D$6:$E$6,D39:E39)</f>
        <v>70</v>
      </c>
      <c r="G39" s="17"/>
      <c r="H39" s="17"/>
      <c r="I39" s="4" t="s">
        <v>47</v>
      </c>
      <c r="J39" s="5" t="s">
        <v>137</v>
      </c>
    </row>
    <row r="40" spans="1:10" x14ac:dyDescent="0.2">
      <c r="A40" s="4" t="s">
        <v>138</v>
      </c>
      <c r="B40" s="4" t="s">
        <v>139</v>
      </c>
      <c r="C40" s="4" t="s">
        <v>136</v>
      </c>
      <c r="D40" s="17">
        <v>130</v>
      </c>
      <c r="E40" s="17">
        <v>130</v>
      </c>
      <c r="F40" s="24">
        <f t="shared" si="6"/>
        <v>130</v>
      </c>
      <c r="G40" s="17"/>
      <c r="H40" s="17"/>
      <c r="I40" s="4" t="s">
        <v>47</v>
      </c>
      <c r="J40" s="5" t="s">
        <v>140</v>
      </c>
    </row>
    <row r="42" spans="1:10" x14ac:dyDescent="0.2">
      <c r="F42" s="57"/>
    </row>
    <row r="43" spans="1:10" x14ac:dyDescent="0.2">
      <c r="F43" s="57"/>
    </row>
  </sheetData>
  <dataValidations count="1">
    <dataValidation type="list" sqref="D4" xr:uid="{00000000-0002-0000-0100-000000000000}">
      <formula1>"KSA,UAE"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W11"/>
  <sheetViews>
    <sheetView showGridLines="0" zoomScale="80" zoomScaleNormal="80" workbookViewId="0">
      <pane xSplit="4" ySplit="4" topLeftCell="E5" activePane="bottomRight" state="frozen"/>
      <selection pane="topRight"/>
      <selection pane="bottomLeft"/>
      <selection pane="bottomRight"/>
    </sheetView>
  </sheetViews>
  <sheetFormatPr baseColWidth="10" defaultColWidth="8.83203125" defaultRowHeight="15" x14ac:dyDescent="0.2"/>
  <cols>
    <col min="1" max="1" width="38" customWidth="1"/>
    <col min="2" max="2" width="12" customWidth="1"/>
    <col min="3" max="3" width="15" customWidth="1"/>
    <col min="4" max="4" width="30" customWidth="1"/>
    <col min="5" max="49" width="11" customWidth="1"/>
  </cols>
  <sheetData>
    <row r="1" spans="1:49" ht="18" x14ac:dyDescent="0.2">
      <c r="A1" s="1" t="s">
        <v>141</v>
      </c>
    </row>
    <row r="2" spans="1:49" x14ac:dyDescent="0.2">
      <c r="A2" s="2" t="s">
        <v>142</v>
      </c>
    </row>
    <row r="4" spans="1:49" x14ac:dyDescent="0.2">
      <c r="A4" s="11" t="s">
        <v>143</v>
      </c>
      <c r="B4" s="11" t="s">
        <v>31</v>
      </c>
      <c r="C4" s="11" t="s">
        <v>144</v>
      </c>
      <c r="D4" s="11" t="s">
        <v>145</v>
      </c>
      <c r="E4" s="11">
        <v>1</v>
      </c>
      <c r="F4" s="11">
        <v>2</v>
      </c>
      <c r="G4" s="11">
        <v>3</v>
      </c>
      <c r="H4" s="11">
        <v>4</v>
      </c>
      <c r="I4" s="11">
        <v>5</v>
      </c>
      <c r="J4" s="11">
        <v>6</v>
      </c>
      <c r="K4" s="11">
        <v>7</v>
      </c>
      <c r="L4" s="11">
        <v>8</v>
      </c>
      <c r="M4" s="11">
        <v>9</v>
      </c>
      <c r="N4" s="11">
        <v>10</v>
      </c>
      <c r="O4" s="11">
        <v>11</v>
      </c>
      <c r="P4" s="11">
        <v>12</v>
      </c>
      <c r="Q4" s="11">
        <v>13</v>
      </c>
      <c r="R4" s="11">
        <v>14</v>
      </c>
      <c r="S4" s="11">
        <v>15</v>
      </c>
      <c r="T4" s="11">
        <v>16</v>
      </c>
      <c r="U4" s="11">
        <v>17</v>
      </c>
      <c r="V4" s="11">
        <v>18</v>
      </c>
      <c r="W4" s="11">
        <v>19</v>
      </c>
      <c r="X4" s="11">
        <v>20</v>
      </c>
      <c r="Y4" s="11">
        <v>21</v>
      </c>
      <c r="Z4" s="11">
        <v>22</v>
      </c>
      <c r="AA4" s="11">
        <v>23</v>
      </c>
      <c r="AB4" s="11">
        <v>24</v>
      </c>
      <c r="AC4" s="11">
        <v>25</v>
      </c>
      <c r="AD4" s="11">
        <v>26</v>
      </c>
      <c r="AE4" s="11">
        <v>27</v>
      </c>
      <c r="AF4" s="11">
        <v>28</v>
      </c>
      <c r="AG4" s="11">
        <v>29</v>
      </c>
      <c r="AH4" s="11">
        <v>30</v>
      </c>
      <c r="AI4" s="11">
        <v>31</v>
      </c>
      <c r="AJ4" s="11">
        <v>32</v>
      </c>
      <c r="AK4" s="11">
        <v>33</v>
      </c>
      <c r="AL4" s="11">
        <v>34</v>
      </c>
      <c r="AM4" s="11">
        <v>35</v>
      </c>
      <c r="AN4" s="11">
        <v>36</v>
      </c>
      <c r="AO4" s="11">
        <v>37</v>
      </c>
      <c r="AP4" s="11">
        <v>38</v>
      </c>
      <c r="AQ4" s="11">
        <v>39</v>
      </c>
      <c r="AR4" s="11">
        <v>40</v>
      </c>
      <c r="AS4" s="11">
        <v>41</v>
      </c>
      <c r="AT4" s="11">
        <v>42</v>
      </c>
      <c r="AU4" s="11">
        <v>43</v>
      </c>
      <c r="AV4" s="11">
        <v>44</v>
      </c>
      <c r="AW4" s="11">
        <v>45</v>
      </c>
    </row>
    <row r="5" spans="1:49" x14ac:dyDescent="0.2">
      <c r="A5" s="12" t="s">
        <v>187</v>
      </c>
      <c r="B5" s="13"/>
      <c r="C5" s="13"/>
      <c r="D5" s="13"/>
      <c r="E5" s="13"/>
      <c r="F5" s="13"/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  <c r="AB5" s="13"/>
      <c r="AC5" s="13"/>
      <c r="AD5" s="13"/>
      <c r="AE5" s="13"/>
      <c r="AF5" s="13"/>
      <c r="AG5" s="13"/>
      <c r="AH5" s="13"/>
      <c r="AI5" s="13"/>
      <c r="AJ5" s="13"/>
      <c r="AK5" s="13"/>
      <c r="AL5" s="13"/>
      <c r="AM5" s="13"/>
      <c r="AN5" s="13"/>
      <c r="AO5" s="13"/>
      <c r="AP5" s="13"/>
      <c r="AQ5" s="13"/>
      <c r="AR5" s="13"/>
      <c r="AS5" s="13"/>
      <c r="AT5" s="13"/>
      <c r="AU5" s="13"/>
      <c r="AV5" s="13"/>
      <c r="AW5" s="13"/>
    </row>
    <row r="6" spans="1:49" x14ac:dyDescent="0.2">
      <c r="A6" s="4" t="s">
        <v>188</v>
      </c>
      <c r="B6" s="2" t="s">
        <v>189</v>
      </c>
      <c r="C6" s="28">
        <f>+SUM(E6:AW6)</f>
        <v>2</v>
      </c>
      <c r="D6" s="2" t="s">
        <v>190</v>
      </c>
      <c r="E6" s="28">
        <f>IF(E$4&lt;=$C$7,1,0)</f>
        <v>1</v>
      </c>
      <c r="F6" s="28">
        <f t="shared" ref="F6:AW6" si="0">IF(F$4&lt;=$C$7,1,0)</f>
        <v>1</v>
      </c>
      <c r="G6" s="28">
        <f t="shared" si="0"/>
        <v>0</v>
      </c>
      <c r="H6" s="28">
        <f t="shared" si="0"/>
        <v>0</v>
      </c>
      <c r="I6" s="28">
        <f t="shared" si="0"/>
        <v>0</v>
      </c>
      <c r="J6" s="28">
        <f t="shared" si="0"/>
        <v>0</v>
      </c>
      <c r="K6" s="28">
        <f t="shared" si="0"/>
        <v>0</v>
      </c>
      <c r="L6" s="28">
        <f t="shared" si="0"/>
        <v>0</v>
      </c>
      <c r="M6" s="28">
        <f t="shared" si="0"/>
        <v>0</v>
      </c>
      <c r="N6" s="28">
        <f t="shared" si="0"/>
        <v>0</v>
      </c>
      <c r="O6" s="28">
        <f t="shared" si="0"/>
        <v>0</v>
      </c>
      <c r="P6" s="28">
        <f t="shared" si="0"/>
        <v>0</v>
      </c>
      <c r="Q6" s="28">
        <f t="shared" si="0"/>
        <v>0</v>
      </c>
      <c r="R6" s="28">
        <f t="shared" si="0"/>
        <v>0</v>
      </c>
      <c r="S6" s="28">
        <f t="shared" si="0"/>
        <v>0</v>
      </c>
      <c r="T6" s="28">
        <f t="shared" si="0"/>
        <v>0</v>
      </c>
      <c r="U6" s="28">
        <f t="shared" si="0"/>
        <v>0</v>
      </c>
      <c r="V6" s="28">
        <f t="shared" si="0"/>
        <v>0</v>
      </c>
      <c r="W6" s="28">
        <f t="shared" si="0"/>
        <v>0</v>
      </c>
      <c r="X6" s="28">
        <f t="shared" si="0"/>
        <v>0</v>
      </c>
      <c r="Y6" s="28">
        <f t="shared" si="0"/>
        <v>0</v>
      </c>
      <c r="Z6" s="28">
        <f t="shared" si="0"/>
        <v>0</v>
      </c>
      <c r="AA6" s="28">
        <f t="shared" si="0"/>
        <v>0</v>
      </c>
      <c r="AB6" s="28">
        <f t="shared" si="0"/>
        <v>0</v>
      </c>
      <c r="AC6" s="28">
        <f t="shared" si="0"/>
        <v>0</v>
      </c>
      <c r="AD6" s="28">
        <f t="shared" si="0"/>
        <v>0</v>
      </c>
      <c r="AE6" s="28">
        <f t="shared" si="0"/>
        <v>0</v>
      </c>
      <c r="AF6" s="28">
        <f t="shared" si="0"/>
        <v>0</v>
      </c>
      <c r="AG6" s="28">
        <f t="shared" si="0"/>
        <v>0</v>
      </c>
      <c r="AH6" s="28">
        <f t="shared" si="0"/>
        <v>0</v>
      </c>
      <c r="AI6" s="28">
        <f t="shared" si="0"/>
        <v>0</v>
      </c>
      <c r="AJ6" s="28">
        <f t="shared" si="0"/>
        <v>0</v>
      </c>
      <c r="AK6" s="28">
        <f t="shared" si="0"/>
        <v>0</v>
      </c>
      <c r="AL6" s="28">
        <f t="shared" si="0"/>
        <v>0</v>
      </c>
      <c r="AM6" s="28">
        <f t="shared" si="0"/>
        <v>0</v>
      </c>
      <c r="AN6" s="28">
        <f t="shared" si="0"/>
        <v>0</v>
      </c>
      <c r="AO6" s="28">
        <f t="shared" si="0"/>
        <v>0</v>
      </c>
      <c r="AP6" s="28">
        <f t="shared" si="0"/>
        <v>0</v>
      </c>
      <c r="AQ6" s="28">
        <f t="shared" si="0"/>
        <v>0</v>
      </c>
      <c r="AR6" s="28">
        <f t="shared" si="0"/>
        <v>0</v>
      </c>
      <c r="AS6" s="28">
        <f t="shared" si="0"/>
        <v>0</v>
      </c>
      <c r="AT6" s="28">
        <f t="shared" si="0"/>
        <v>0</v>
      </c>
      <c r="AU6" s="28">
        <f t="shared" si="0"/>
        <v>0</v>
      </c>
      <c r="AV6" s="28">
        <f t="shared" si="0"/>
        <v>0</v>
      </c>
      <c r="AW6" s="28">
        <f t="shared" si="0"/>
        <v>0</v>
      </c>
    </row>
    <row r="7" spans="1:49" x14ac:dyDescent="0.2">
      <c r="A7" s="4" t="s">
        <v>191</v>
      </c>
      <c r="B7" s="2" t="s">
        <v>192</v>
      </c>
      <c r="C7" s="29">
        <f>+Inputs!$F$13</f>
        <v>2</v>
      </c>
      <c r="D7" s="2" t="s">
        <v>193</v>
      </c>
      <c r="E7" s="28">
        <f>IF(E$4&lt;=$C$7,E6,0)</f>
        <v>1</v>
      </c>
      <c r="F7" s="28">
        <f t="shared" ref="F7:AW7" si="1">IF(F$4&lt;=$C$7,E7+F6,0)</f>
        <v>2</v>
      </c>
      <c r="G7" s="28">
        <f t="shared" si="1"/>
        <v>0</v>
      </c>
      <c r="H7" s="28">
        <f t="shared" si="1"/>
        <v>0</v>
      </c>
      <c r="I7" s="28">
        <f t="shared" si="1"/>
        <v>0</v>
      </c>
      <c r="J7" s="28">
        <f t="shared" si="1"/>
        <v>0</v>
      </c>
      <c r="K7" s="28">
        <f t="shared" si="1"/>
        <v>0</v>
      </c>
      <c r="L7" s="28">
        <f t="shared" si="1"/>
        <v>0</v>
      </c>
      <c r="M7" s="28">
        <f t="shared" si="1"/>
        <v>0</v>
      </c>
      <c r="N7" s="28">
        <f t="shared" si="1"/>
        <v>0</v>
      </c>
      <c r="O7" s="28">
        <f t="shared" si="1"/>
        <v>0</v>
      </c>
      <c r="P7" s="28">
        <f t="shared" si="1"/>
        <v>0</v>
      </c>
      <c r="Q7" s="28">
        <f t="shared" si="1"/>
        <v>0</v>
      </c>
      <c r="R7" s="28">
        <f t="shared" si="1"/>
        <v>0</v>
      </c>
      <c r="S7" s="28">
        <f t="shared" si="1"/>
        <v>0</v>
      </c>
      <c r="T7" s="28">
        <f t="shared" si="1"/>
        <v>0</v>
      </c>
      <c r="U7" s="28">
        <f t="shared" si="1"/>
        <v>0</v>
      </c>
      <c r="V7" s="28">
        <f t="shared" si="1"/>
        <v>0</v>
      </c>
      <c r="W7" s="28">
        <f t="shared" si="1"/>
        <v>0</v>
      </c>
      <c r="X7" s="28">
        <f t="shared" si="1"/>
        <v>0</v>
      </c>
      <c r="Y7" s="28">
        <f t="shared" si="1"/>
        <v>0</v>
      </c>
      <c r="Z7" s="28">
        <f t="shared" si="1"/>
        <v>0</v>
      </c>
      <c r="AA7" s="28">
        <f t="shared" si="1"/>
        <v>0</v>
      </c>
      <c r="AB7" s="28">
        <f t="shared" si="1"/>
        <v>0</v>
      </c>
      <c r="AC7" s="28">
        <f t="shared" si="1"/>
        <v>0</v>
      </c>
      <c r="AD7" s="28">
        <f t="shared" si="1"/>
        <v>0</v>
      </c>
      <c r="AE7" s="28">
        <f t="shared" si="1"/>
        <v>0</v>
      </c>
      <c r="AF7" s="28">
        <f t="shared" si="1"/>
        <v>0</v>
      </c>
      <c r="AG7" s="28">
        <f t="shared" si="1"/>
        <v>0</v>
      </c>
      <c r="AH7" s="28">
        <f t="shared" si="1"/>
        <v>0</v>
      </c>
      <c r="AI7" s="28">
        <f t="shared" si="1"/>
        <v>0</v>
      </c>
      <c r="AJ7" s="28">
        <f t="shared" si="1"/>
        <v>0</v>
      </c>
      <c r="AK7" s="28">
        <f t="shared" si="1"/>
        <v>0</v>
      </c>
      <c r="AL7" s="28">
        <f t="shared" si="1"/>
        <v>0</v>
      </c>
      <c r="AM7" s="28">
        <f t="shared" si="1"/>
        <v>0</v>
      </c>
      <c r="AN7" s="28">
        <f t="shared" si="1"/>
        <v>0</v>
      </c>
      <c r="AO7" s="28">
        <f t="shared" si="1"/>
        <v>0</v>
      </c>
      <c r="AP7" s="28">
        <f t="shared" si="1"/>
        <v>0</v>
      </c>
      <c r="AQ7" s="28">
        <f t="shared" si="1"/>
        <v>0</v>
      </c>
      <c r="AR7" s="28">
        <f t="shared" si="1"/>
        <v>0</v>
      </c>
      <c r="AS7" s="28">
        <f t="shared" si="1"/>
        <v>0</v>
      </c>
      <c r="AT7" s="28">
        <f t="shared" si="1"/>
        <v>0</v>
      </c>
      <c r="AU7" s="28">
        <f t="shared" si="1"/>
        <v>0</v>
      </c>
      <c r="AV7" s="28">
        <f t="shared" si="1"/>
        <v>0</v>
      </c>
      <c r="AW7" s="28">
        <f t="shared" si="1"/>
        <v>0</v>
      </c>
    </row>
    <row r="8" spans="1:49" x14ac:dyDescent="0.2">
      <c r="A8" s="4" t="s">
        <v>194</v>
      </c>
      <c r="B8" s="2" t="s">
        <v>189</v>
      </c>
      <c r="C8" s="28">
        <f>+SUM(E8:AW8)</f>
        <v>30</v>
      </c>
      <c r="D8" s="2" t="s">
        <v>195</v>
      </c>
      <c r="E8" s="28">
        <f>+IF(AND(E$6=0,(E$4-$C$7)&lt;=$C$9),1,0)</f>
        <v>0</v>
      </c>
      <c r="F8" s="28">
        <f>+IF(AND(F$6=0,(F$4-$C$7)&lt;=$C$9),1,0)</f>
        <v>0</v>
      </c>
      <c r="G8" s="28">
        <f>+IF(AND(G$6=0,(G$4-$C$7)&lt;=$C$9),1,0)</f>
        <v>1</v>
      </c>
      <c r="H8" s="28">
        <f>+IF(AND(H$6=0,(H$4-$C$7)&lt;=$C$9),1,0)</f>
        <v>1</v>
      </c>
      <c r="I8" s="28">
        <f t="shared" ref="I8:AW8" si="2">+IF(AND(I$6=0,(I$4-$C$7)&lt;=$C$9),1,0)</f>
        <v>1</v>
      </c>
      <c r="J8" s="28">
        <f t="shared" si="2"/>
        <v>1</v>
      </c>
      <c r="K8" s="28">
        <f t="shared" si="2"/>
        <v>1</v>
      </c>
      <c r="L8" s="28">
        <f t="shared" si="2"/>
        <v>1</v>
      </c>
      <c r="M8" s="28">
        <f t="shared" si="2"/>
        <v>1</v>
      </c>
      <c r="N8" s="28">
        <f t="shared" si="2"/>
        <v>1</v>
      </c>
      <c r="O8" s="28">
        <f t="shared" si="2"/>
        <v>1</v>
      </c>
      <c r="P8" s="28">
        <f t="shared" si="2"/>
        <v>1</v>
      </c>
      <c r="Q8" s="28">
        <f t="shared" si="2"/>
        <v>1</v>
      </c>
      <c r="R8" s="28">
        <f t="shared" si="2"/>
        <v>1</v>
      </c>
      <c r="S8" s="28">
        <f t="shared" si="2"/>
        <v>1</v>
      </c>
      <c r="T8" s="28">
        <f t="shared" si="2"/>
        <v>1</v>
      </c>
      <c r="U8" s="28">
        <f t="shared" si="2"/>
        <v>1</v>
      </c>
      <c r="V8" s="28">
        <f t="shared" si="2"/>
        <v>1</v>
      </c>
      <c r="W8" s="28">
        <f t="shared" si="2"/>
        <v>1</v>
      </c>
      <c r="X8" s="28">
        <f t="shared" si="2"/>
        <v>1</v>
      </c>
      <c r="Y8" s="28">
        <f t="shared" si="2"/>
        <v>1</v>
      </c>
      <c r="Z8" s="28">
        <f t="shared" si="2"/>
        <v>1</v>
      </c>
      <c r="AA8" s="28">
        <f t="shared" si="2"/>
        <v>1</v>
      </c>
      <c r="AB8" s="28">
        <f t="shared" si="2"/>
        <v>1</v>
      </c>
      <c r="AC8" s="28">
        <f t="shared" si="2"/>
        <v>1</v>
      </c>
      <c r="AD8" s="28">
        <f t="shared" si="2"/>
        <v>1</v>
      </c>
      <c r="AE8" s="28">
        <f t="shared" si="2"/>
        <v>1</v>
      </c>
      <c r="AF8" s="28">
        <f t="shared" si="2"/>
        <v>1</v>
      </c>
      <c r="AG8" s="28">
        <f t="shared" si="2"/>
        <v>1</v>
      </c>
      <c r="AH8" s="28">
        <f t="shared" si="2"/>
        <v>1</v>
      </c>
      <c r="AI8" s="28">
        <f t="shared" si="2"/>
        <v>1</v>
      </c>
      <c r="AJ8" s="28">
        <f t="shared" si="2"/>
        <v>1</v>
      </c>
      <c r="AK8" s="28">
        <f t="shared" si="2"/>
        <v>0</v>
      </c>
      <c r="AL8" s="28">
        <f t="shared" si="2"/>
        <v>0</v>
      </c>
      <c r="AM8" s="28">
        <f t="shared" si="2"/>
        <v>0</v>
      </c>
      <c r="AN8" s="28">
        <f t="shared" si="2"/>
        <v>0</v>
      </c>
      <c r="AO8" s="28">
        <f t="shared" si="2"/>
        <v>0</v>
      </c>
      <c r="AP8" s="28">
        <f t="shared" si="2"/>
        <v>0</v>
      </c>
      <c r="AQ8" s="28">
        <f t="shared" si="2"/>
        <v>0</v>
      </c>
      <c r="AR8" s="28">
        <f t="shared" si="2"/>
        <v>0</v>
      </c>
      <c r="AS8" s="28">
        <f t="shared" si="2"/>
        <v>0</v>
      </c>
      <c r="AT8" s="28">
        <f t="shared" si="2"/>
        <v>0</v>
      </c>
      <c r="AU8" s="28">
        <f t="shared" si="2"/>
        <v>0</v>
      </c>
      <c r="AV8" s="28">
        <f t="shared" si="2"/>
        <v>0</v>
      </c>
      <c r="AW8" s="28">
        <f t="shared" si="2"/>
        <v>0</v>
      </c>
    </row>
    <row r="9" spans="1:49" x14ac:dyDescent="0.2">
      <c r="A9" s="4" t="s">
        <v>196</v>
      </c>
      <c r="B9" s="2" t="s">
        <v>192</v>
      </c>
      <c r="C9" s="29">
        <f>+Inputs!F21</f>
        <v>30</v>
      </c>
      <c r="D9" s="2" t="s">
        <v>197</v>
      </c>
      <c r="E9" s="28">
        <f>IF(E$4&lt;=$C$9+$C$7,E8,0)</f>
        <v>0</v>
      </c>
      <c r="F9" s="28">
        <f t="shared" ref="F9:AW9" si="3">IF(F$4&lt;=$C$9+$C$7,E9+F8,0)</f>
        <v>0</v>
      </c>
      <c r="G9" s="28">
        <f t="shared" si="3"/>
        <v>1</v>
      </c>
      <c r="H9" s="28">
        <f t="shared" si="3"/>
        <v>2</v>
      </c>
      <c r="I9" s="28">
        <f t="shared" si="3"/>
        <v>3</v>
      </c>
      <c r="J9" s="28">
        <f t="shared" si="3"/>
        <v>4</v>
      </c>
      <c r="K9" s="28">
        <f t="shared" si="3"/>
        <v>5</v>
      </c>
      <c r="L9" s="28">
        <f t="shared" si="3"/>
        <v>6</v>
      </c>
      <c r="M9" s="28">
        <f t="shared" si="3"/>
        <v>7</v>
      </c>
      <c r="N9" s="28">
        <f t="shared" si="3"/>
        <v>8</v>
      </c>
      <c r="O9" s="28">
        <f t="shared" si="3"/>
        <v>9</v>
      </c>
      <c r="P9" s="28">
        <f t="shared" si="3"/>
        <v>10</v>
      </c>
      <c r="Q9" s="28">
        <f t="shared" si="3"/>
        <v>11</v>
      </c>
      <c r="R9" s="28">
        <f t="shared" si="3"/>
        <v>12</v>
      </c>
      <c r="S9" s="28">
        <f t="shared" si="3"/>
        <v>13</v>
      </c>
      <c r="T9" s="28">
        <f t="shared" si="3"/>
        <v>14</v>
      </c>
      <c r="U9" s="28">
        <f t="shared" si="3"/>
        <v>15</v>
      </c>
      <c r="V9" s="28">
        <f t="shared" si="3"/>
        <v>16</v>
      </c>
      <c r="W9" s="28">
        <f t="shared" si="3"/>
        <v>17</v>
      </c>
      <c r="X9" s="28">
        <f t="shared" si="3"/>
        <v>18</v>
      </c>
      <c r="Y9" s="28">
        <f t="shared" si="3"/>
        <v>19</v>
      </c>
      <c r="Z9" s="28">
        <f t="shared" si="3"/>
        <v>20</v>
      </c>
      <c r="AA9" s="28">
        <f t="shared" si="3"/>
        <v>21</v>
      </c>
      <c r="AB9" s="28">
        <f t="shared" si="3"/>
        <v>22</v>
      </c>
      <c r="AC9" s="28">
        <f t="shared" si="3"/>
        <v>23</v>
      </c>
      <c r="AD9" s="28">
        <f t="shared" si="3"/>
        <v>24</v>
      </c>
      <c r="AE9" s="28">
        <f t="shared" si="3"/>
        <v>25</v>
      </c>
      <c r="AF9" s="28">
        <f t="shared" si="3"/>
        <v>26</v>
      </c>
      <c r="AG9" s="28">
        <f t="shared" si="3"/>
        <v>27</v>
      </c>
      <c r="AH9" s="28">
        <f t="shared" si="3"/>
        <v>28</v>
      </c>
      <c r="AI9" s="28">
        <f t="shared" si="3"/>
        <v>29</v>
      </c>
      <c r="AJ9" s="28">
        <f t="shared" si="3"/>
        <v>30</v>
      </c>
      <c r="AK9" s="28">
        <f t="shared" si="3"/>
        <v>0</v>
      </c>
      <c r="AL9" s="28">
        <f t="shared" si="3"/>
        <v>0</v>
      </c>
      <c r="AM9" s="28">
        <f t="shared" si="3"/>
        <v>0</v>
      </c>
      <c r="AN9" s="28">
        <f t="shared" si="3"/>
        <v>0</v>
      </c>
      <c r="AO9" s="28">
        <f t="shared" si="3"/>
        <v>0</v>
      </c>
      <c r="AP9" s="28">
        <f t="shared" si="3"/>
        <v>0</v>
      </c>
      <c r="AQ9" s="28">
        <f t="shared" si="3"/>
        <v>0</v>
      </c>
      <c r="AR9" s="28">
        <f t="shared" si="3"/>
        <v>0</v>
      </c>
      <c r="AS9" s="28">
        <f t="shared" si="3"/>
        <v>0</v>
      </c>
      <c r="AT9" s="28">
        <f t="shared" si="3"/>
        <v>0</v>
      </c>
      <c r="AU9" s="28">
        <f t="shared" si="3"/>
        <v>0</v>
      </c>
      <c r="AV9" s="28">
        <f t="shared" si="3"/>
        <v>0</v>
      </c>
      <c r="AW9" s="28">
        <f t="shared" si="3"/>
        <v>0</v>
      </c>
    </row>
    <row r="10" spans="1:49" x14ac:dyDescent="0.2">
      <c r="A10" s="4" t="s">
        <v>198</v>
      </c>
      <c r="B10" s="2" t="s">
        <v>189</v>
      </c>
      <c r="C10" s="29">
        <f>+Inputs!$F$24</f>
        <v>27</v>
      </c>
      <c r="D10" s="2" t="s">
        <v>199</v>
      </c>
      <c r="E10" s="28">
        <f>+IF(AND(E$9&gt;0,E$9&lt;=$C$10),1,0)</f>
        <v>0</v>
      </c>
      <c r="F10" s="28">
        <f t="shared" ref="F10:AW10" si="4">+IF(AND(F$9&gt;0,F$9&lt;=$C$10),1,0)</f>
        <v>0</v>
      </c>
      <c r="G10" s="28">
        <f t="shared" si="4"/>
        <v>1</v>
      </c>
      <c r="H10" s="28">
        <f t="shared" si="4"/>
        <v>1</v>
      </c>
      <c r="I10" s="28">
        <f t="shared" si="4"/>
        <v>1</v>
      </c>
      <c r="J10" s="28">
        <f t="shared" si="4"/>
        <v>1</v>
      </c>
      <c r="K10" s="28">
        <f t="shared" si="4"/>
        <v>1</v>
      </c>
      <c r="L10" s="28">
        <f t="shared" si="4"/>
        <v>1</v>
      </c>
      <c r="M10" s="28">
        <f t="shared" si="4"/>
        <v>1</v>
      </c>
      <c r="N10" s="28">
        <f t="shared" si="4"/>
        <v>1</v>
      </c>
      <c r="O10" s="28">
        <f t="shared" si="4"/>
        <v>1</v>
      </c>
      <c r="P10" s="28">
        <f t="shared" si="4"/>
        <v>1</v>
      </c>
      <c r="Q10" s="28">
        <f t="shared" si="4"/>
        <v>1</v>
      </c>
      <c r="R10" s="28">
        <f t="shared" si="4"/>
        <v>1</v>
      </c>
      <c r="S10" s="28">
        <f t="shared" si="4"/>
        <v>1</v>
      </c>
      <c r="T10" s="28">
        <f t="shared" si="4"/>
        <v>1</v>
      </c>
      <c r="U10" s="28">
        <f t="shared" si="4"/>
        <v>1</v>
      </c>
      <c r="V10" s="28">
        <f t="shared" si="4"/>
        <v>1</v>
      </c>
      <c r="W10" s="28">
        <f t="shared" si="4"/>
        <v>1</v>
      </c>
      <c r="X10" s="28">
        <f t="shared" si="4"/>
        <v>1</v>
      </c>
      <c r="Y10" s="28">
        <f t="shared" si="4"/>
        <v>1</v>
      </c>
      <c r="Z10" s="28">
        <f t="shared" si="4"/>
        <v>1</v>
      </c>
      <c r="AA10" s="28">
        <f t="shared" si="4"/>
        <v>1</v>
      </c>
      <c r="AB10" s="28">
        <f t="shared" si="4"/>
        <v>1</v>
      </c>
      <c r="AC10" s="28">
        <f t="shared" si="4"/>
        <v>1</v>
      </c>
      <c r="AD10" s="28">
        <f t="shared" si="4"/>
        <v>1</v>
      </c>
      <c r="AE10" s="28">
        <f t="shared" si="4"/>
        <v>1</v>
      </c>
      <c r="AF10" s="28">
        <f t="shared" si="4"/>
        <v>1</v>
      </c>
      <c r="AG10" s="28">
        <f t="shared" si="4"/>
        <v>1</v>
      </c>
      <c r="AH10" s="28">
        <f t="shared" si="4"/>
        <v>0</v>
      </c>
      <c r="AI10" s="28">
        <f t="shared" si="4"/>
        <v>0</v>
      </c>
      <c r="AJ10" s="28">
        <f t="shared" si="4"/>
        <v>0</v>
      </c>
      <c r="AK10" s="28">
        <f t="shared" si="4"/>
        <v>0</v>
      </c>
      <c r="AL10" s="28">
        <f t="shared" si="4"/>
        <v>0</v>
      </c>
      <c r="AM10" s="28">
        <f t="shared" si="4"/>
        <v>0</v>
      </c>
      <c r="AN10" s="28">
        <f t="shared" si="4"/>
        <v>0</v>
      </c>
      <c r="AO10" s="28">
        <f t="shared" si="4"/>
        <v>0</v>
      </c>
      <c r="AP10" s="28">
        <f t="shared" si="4"/>
        <v>0</v>
      </c>
      <c r="AQ10" s="28">
        <f t="shared" si="4"/>
        <v>0</v>
      </c>
      <c r="AR10" s="28">
        <f t="shared" si="4"/>
        <v>0</v>
      </c>
      <c r="AS10" s="28">
        <f t="shared" si="4"/>
        <v>0</v>
      </c>
      <c r="AT10" s="28">
        <f t="shared" si="4"/>
        <v>0</v>
      </c>
      <c r="AU10" s="28">
        <f t="shared" si="4"/>
        <v>0</v>
      </c>
      <c r="AV10" s="28">
        <f t="shared" si="4"/>
        <v>0</v>
      </c>
      <c r="AW10" s="28">
        <f t="shared" si="4"/>
        <v>0</v>
      </c>
    </row>
    <row r="11" spans="1:49" x14ac:dyDescent="0.2">
      <c r="A11" s="4" t="s">
        <v>200</v>
      </c>
      <c r="B11" s="2" t="s">
        <v>46</v>
      </c>
      <c r="C11" s="30">
        <f>+Inputs!$F$34</f>
        <v>7.4999999999999997E-2</v>
      </c>
      <c r="D11" s="2" t="s">
        <v>321</v>
      </c>
      <c r="E11" s="31">
        <f>1/(1+$C$11)^E$4</f>
        <v>0.93023255813953487</v>
      </c>
      <c r="F11" s="31">
        <f t="shared" ref="F11:AW11" si="5">1/(1+$C$11)^F$4</f>
        <v>0.86533261222282321</v>
      </c>
      <c r="G11" s="31">
        <f t="shared" si="5"/>
        <v>0.80496056950960304</v>
      </c>
      <c r="H11" s="31">
        <f t="shared" si="5"/>
        <v>0.7488005297763749</v>
      </c>
      <c r="I11" s="31">
        <f t="shared" si="5"/>
        <v>0.69655863235011617</v>
      </c>
      <c r="J11" s="31">
        <f t="shared" si="5"/>
        <v>0.64796151846522443</v>
      </c>
      <c r="K11" s="31">
        <f t="shared" si="5"/>
        <v>0.60275490089788319</v>
      </c>
      <c r="L11" s="31">
        <f t="shared" si="5"/>
        <v>0.56070223339337966</v>
      </c>
      <c r="M11" s="31">
        <f t="shared" si="5"/>
        <v>0.52158347292407414</v>
      </c>
      <c r="N11" s="31">
        <f t="shared" si="5"/>
        <v>0.48519392830146441</v>
      </c>
      <c r="O11" s="31">
        <f t="shared" si="5"/>
        <v>0.45134318911764126</v>
      </c>
      <c r="P11" s="31">
        <f t="shared" si="5"/>
        <v>0.41985412941175931</v>
      </c>
      <c r="Q11" s="31">
        <f t="shared" si="5"/>
        <v>0.39056198084814819</v>
      </c>
      <c r="R11" s="31">
        <f t="shared" si="5"/>
        <v>0.36331347055641694</v>
      </c>
      <c r="S11" s="31">
        <f t="shared" si="5"/>
        <v>0.33796601912224833</v>
      </c>
      <c r="T11" s="31">
        <f t="shared" si="5"/>
        <v>0.31438699453232405</v>
      </c>
      <c r="U11" s="31">
        <f t="shared" si="5"/>
        <v>0.29245301816960378</v>
      </c>
      <c r="V11" s="31">
        <f t="shared" si="5"/>
        <v>0.27204931922753844</v>
      </c>
      <c r="W11" s="31">
        <f t="shared" si="5"/>
        <v>0.25306913416515198</v>
      </c>
      <c r="X11" s="31">
        <f t="shared" si="5"/>
        <v>0.23541314806060654</v>
      </c>
      <c r="Y11" s="31">
        <f t="shared" si="5"/>
        <v>0.21898897494009908</v>
      </c>
      <c r="Z11" s="31">
        <f t="shared" si="5"/>
        <v>0.20371067436288287</v>
      </c>
      <c r="AA11" s="31">
        <f t="shared" si="5"/>
        <v>0.18949830173291429</v>
      </c>
      <c r="AB11" s="31">
        <f t="shared" si="5"/>
        <v>0.17627748998410636</v>
      </c>
      <c r="AC11" s="31">
        <f t="shared" si="5"/>
        <v>0.16397906045033148</v>
      </c>
      <c r="AD11" s="31">
        <f t="shared" si="5"/>
        <v>0.15253866088402931</v>
      </c>
      <c r="AE11" s="31">
        <f t="shared" si="5"/>
        <v>0.14189642872932959</v>
      </c>
      <c r="AF11" s="31">
        <f t="shared" si="5"/>
        <v>0.13199667788774846</v>
      </c>
      <c r="AG11" s="31">
        <f t="shared" si="5"/>
        <v>0.1227876073374404</v>
      </c>
      <c r="AH11" s="31">
        <f t="shared" si="5"/>
        <v>0.11422103008133992</v>
      </c>
      <c r="AI11" s="31">
        <f t="shared" si="5"/>
        <v>0.10625212100589761</v>
      </c>
      <c r="AJ11" s="31">
        <f t="shared" si="5"/>
        <v>9.8839182331067546E-2</v>
      </c>
      <c r="AK11" s="31">
        <f t="shared" si="5"/>
        <v>9.1943425424248881E-2</v>
      </c>
      <c r="AL11" s="31">
        <f t="shared" si="5"/>
        <v>8.5528767836510602E-2</v>
      </c>
      <c r="AM11" s="31">
        <f t="shared" si="5"/>
        <v>7.9561644499079626E-2</v>
      </c>
      <c r="AN11" s="31">
        <f t="shared" si="5"/>
        <v>7.4010832092167092E-2</v>
      </c>
      <c r="AO11" s="31">
        <f t="shared" si="5"/>
        <v>6.8847285667132177E-2</v>
      </c>
      <c r="AP11" s="31">
        <f t="shared" si="5"/>
        <v>6.4043986667099706E-2</v>
      </c>
      <c r="AQ11" s="31">
        <f t="shared" si="5"/>
        <v>5.9575801550790432E-2</v>
      </c>
      <c r="AR11" s="31">
        <f t="shared" si="5"/>
        <v>5.5419350279805046E-2</v>
      </c>
      <c r="AS11" s="31">
        <f t="shared" si="5"/>
        <v>5.1552883981213993E-2</v>
      </c>
      <c r="AT11" s="31">
        <f t="shared" si="5"/>
        <v>4.7956171145315356E-2</v>
      </c>
      <c r="AU11" s="31">
        <f t="shared" si="5"/>
        <v>4.4610391763084047E-2</v>
      </c>
      <c r="AV11" s="31">
        <f t="shared" si="5"/>
        <v>4.1498038849380511E-2</v>
      </c>
      <c r="AW11" s="31">
        <f t="shared" si="5"/>
        <v>3.8602826836633027E-2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W12"/>
  <sheetViews>
    <sheetView showGridLines="0" zoomScale="80" zoomScaleNormal="80" workbookViewId="0">
      <pane xSplit="4" ySplit="4" topLeftCell="E5" activePane="bottomRight" state="frozen"/>
      <selection pane="topRight"/>
      <selection pane="bottomLeft"/>
      <selection pane="bottomRight"/>
    </sheetView>
  </sheetViews>
  <sheetFormatPr baseColWidth="10" defaultColWidth="8.83203125" defaultRowHeight="15" x14ac:dyDescent="0.2"/>
  <cols>
    <col min="1" max="1" width="38" customWidth="1"/>
    <col min="2" max="2" width="12" customWidth="1"/>
    <col min="3" max="3" width="15" customWidth="1"/>
    <col min="4" max="4" width="30" customWidth="1"/>
    <col min="5" max="49" width="11" customWidth="1"/>
  </cols>
  <sheetData>
    <row r="1" spans="1:49" ht="18" x14ac:dyDescent="0.2">
      <c r="A1" s="1" t="s">
        <v>201</v>
      </c>
    </row>
    <row r="2" spans="1:49" x14ac:dyDescent="0.2">
      <c r="A2" s="2" t="s">
        <v>352</v>
      </c>
    </row>
    <row r="4" spans="1:49" x14ac:dyDescent="0.2">
      <c r="A4" s="11" t="s">
        <v>143</v>
      </c>
      <c r="B4" s="11" t="s">
        <v>31</v>
      </c>
      <c r="C4" s="11" t="s">
        <v>330</v>
      </c>
      <c r="D4" s="11" t="s">
        <v>145</v>
      </c>
      <c r="E4" s="11" t="s">
        <v>0</v>
      </c>
      <c r="F4" s="11" t="s">
        <v>1</v>
      </c>
      <c r="G4" s="11" t="s">
        <v>2</v>
      </c>
      <c r="H4" s="11" t="s">
        <v>3</v>
      </c>
      <c r="I4" s="11" t="s">
        <v>146</v>
      </c>
      <c r="J4" s="11" t="s">
        <v>147</v>
      </c>
      <c r="K4" s="11" t="s">
        <v>148</v>
      </c>
      <c r="L4" s="11" t="s">
        <v>149</v>
      </c>
      <c r="M4" s="11" t="s">
        <v>150</v>
      </c>
      <c r="N4" s="11" t="s">
        <v>151</v>
      </c>
      <c r="O4" s="11" t="s">
        <v>152</v>
      </c>
      <c r="P4" s="11" t="s">
        <v>153</v>
      </c>
      <c r="Q4" s="11" t="s">
        <v>154</v>
      </c>
      <c r="R4" s="11" t="s">
        <v>155</v>
      </c>
      <c r="S4" s="11" t="s">
        <v>156</v>
      </c>
      <c r="T4" s="11" t="s">
        <v>157</v>
      </c>
      <c r="U4" s="11" t="s">
        <v>158</v>
      </c>
      <c r="V4" s="11" t="s">
        <v>159</v>
      </c>
      <c r="W4" s="11" t="s">
        <v>160</v>
      </c>
      <c r="X4" s="11" t="s">
        <v>161</v>
      </c>
      <c r="Y4" s="11" t="s">
        <v>162</v>
      </c>
      <c r="Z4" s="11" t="s">
        <v>163</v>
      </c>
      <c r="AA4" s="11" t="s">
        <v>164</v>
      </c>
      <c r="AB4" s="11" t="s">
        <v>165</v>
      </c>
      <c r="AC4" s="11" t="s">
        <v>166</v>
      </c>
      <c r="AD4" s="11" t="s">
        <v>167</v>
      </c>
      <c r="AE4" s="11" t="s">
        <v>168</v>
      </c>
      <c r="AF4" s="11" t="s">
        <v>169</v>
      </c>
      <c r="AG4" s="11" t="s">
        <v>170</v>
      </c>
      <c r="AH4" s="11" t="s">
        <v>171</v>
      </c>
      <c r="AI4" s="11" t="s">
        <v>172</v>
      </c>
      <c r="AJ4" s="11" t="s">
        <v>173</v>
      </c>
      <c r="AK4" s="11" t="s">
        <v>174</v>
      </c>
      <c r="AL4" s="11" t="s">
        <v>175</v>
      </c>
      <c r="AM4" s="11" t="s">
        <v>176</v>
      </c>
      <c r="AN4" s="11" t="s">
        <v>177</v>
      </c>
      <c r="AO4" s="11" t="s">
        <v>178</v>
      </c>
      <c r="AP4" s="11" t="s">
        <v>179</v>
      </c>
      <c r="AQ4" s="11" t="s">
        <v>180</v>
      </c>
      <c r="AR4" s="11" t="s">
        <v>181</v>
      </c>
      <c r="AS4" s="11" t="s">
        <v>182</v>
      </c>
      <c r="AT4" s="11" t="s">
        <v>183</v>
      </c>
      <c r="AU4" s="11" t="s">
        <v>184</v>
      </c>
      <c r="AV4" s="11" t="s">
        <v>185</v>
      </c>
      <c r="AW4" s="11" t="s">
        <v>186</v>
      </c>
    </row>
    <row r="5" spans="1:49" x14ac:dyDescent="0.2">
      <c r="A5" s="12" t="s">
        <v>202</v>
      </c>
      <c r="B5" s="13"/>
      <c r="C5" s="13"/>
      <c r="D5" s="13"/>
      <c r="E5" s="13"/>
      <c r="F5" s="13"/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  <c r="AB5" s="13"/>
      <c r="AC5" s="13"/>
      <c r="AD5" s="13"/>
      <c r="AE5" s="13"/>
      <c r="AF5" s="13"/>
      <c r="AG5" s="13"/>
      <c r="AH5" s="13"/>
      <c r="AI5" s="13"/>
      <c r="AJ5" s="13"/>
      <c r="AK5" s="13"/>
      <c r="AL5" s="13"/>
      <c r="AM5" s="13"/>
      <c r="AN5" s="13"/>
      <c r="AO5" s="13"/>
      <c r="AP5" s="13"/>
      <c r="AQ5" s="13"/>
      <c r="AR5" s="13"/>
      <c r="AS5" s="13"/>
      <c r="AT5" s="13"/>
      <c r="AU5" s="13"/>
      <c r="AV5" s="13"/>
      <c r="AW5" s="13"/>
    </row>
    <row r="6" spans="1:49" x14ac:dyDescent="0.2">
      <c r="A6" s="4" t="s">
        <v>203</v>
      </c>
      <c r="B6" s="2" t="s">
        <v>204</v>
      </c>
      <c r="C6" s="33">
        <f>+Inputs!$F$8*Inputs!$F$9</f>
        <v>1300</v>
      </c>
      <c r="D6" s="2" t="s">
        <v>350</v>
      </c>
    </row>
    <row r="7" spans="1:49" x14ac:dyDescent="0.2">
      <c r="A7" s="4" t="s">
        <v>202</v>
      </c>
      <c r="B7" s="2" t="s">
        <v>205</v>
      </c>
      <c r="C7" s="32">
        <f>+$C$6*Inputs!$F$10</f>
        <v>2912000</v>
      </c>
      <c r="D7" s="2" t="s">
        <v>351</v>
      </c>
      <c r="E7" s="36">
        <f>+$C$7*(1-Inputs!$F$11)^(Timeline!E$9-1)*Timeline!E$8</f>
        <v>0</v>
      </c>
      <c r="F7" s="36">
        <f>+$C$7*(1-Inputs!$F$11)^(Timeline!F$9-1)*Timeline!F$8</f>
        <v>0</v>
      </c>
      <c r="G7" s="36">
        <f>+$C$7*(1-Inputs!$F$11)^(Timeline!G$9-1)*Timeline!G$8</f>
        <v>2912000</v>
      </c>
      <c r="H7" s="36">
        <f>+$C$7*(1-Inputs!$F$11)^(Timeline!H$9-1)*Timeline!H$8</f>
        <v>2897440</v>
      </c>
      <c r="I7" s="36">
        <f>+$C$7*(1-Inputs!$F$11)^(Timeline!I$9-1)*Timeline!I$8</f>
        <v>2882952.8000000003</v>
      </c>
      <c r="J7" s="36">
        <f>+$C$7*(1-Inputs!$F$11)^(Timeline!J$9-1)*Timeline!J$8</f>
        <v>2868538.0359999998</v>
      </c>
      <c r="K7" s="36">
        <f>+$C$7*(1-Inputs!$F$11)^(Timeline!K$9-1)*Timeline!K$8</f>
        <v>2854195.3458200004</v>
      </c>
      <c r="L7" s="36">
        <f>+$C$7*(1-Inputs!$F$11)^(Timeline!L$9-1)*Timeline!L$8</f>
        <v>2839924.3690909003</v>
      </c>
      <c r="M7" s="36">
        <f>+$C$7*(1-Inputs!$F$11)^(Timeline!M$9-1)*Timeline!M$8</f>
        <v>2825724.7472454458</v>
      </c>
      <c r="N7" s="36">
        <f>+$C$7*(1-Inputs!$F$11)^(Timeline!N$9-1)*Timeline!N$8</f>
        <v>2811596.1235092185</v>
      </c>
      <c r="O7" s="36">
        <f>+$C$7*(1-Inputs!$F$11)^(Timeline!O$9-1)*Timeline!O$8</f>
        <v>2797538.1428916724</v>
      </c>
      <c r="P7" s="36">
        <f>+$C$7*(1-Inputs!$F$11)^(Timeline!P$9-1)*Timeline!P$8</f>
        <v>2783550.452177214</v>
      </c>
      <c r="Q7" s="36">
        <f>+$C$7*(1-Inputs!$F$11)^(Timeline!Q$9-1)*Timeline!Q$8</f>
        <v>2769632.6999163278</v>
      </c>
      <c r="R7" s="36">
        <f>+$C$7*(1-Inputs!$F$11)^(Timeline!R$9-1)*Timeline!R$8</f>
        <v>2755784.5364167462</v>
      </c>
      <c r="S7" s="36">
        <f>+$C$7*(1-Inputs!$F$11)^(Timeline!S$9-1)*Timeline!S$8</f>
        <v>2742005.6137346625</v>
      </c>
      <c r="T7" s="36">
        <f>+$C$7*(1-Inputs!$F$11)^(Timeline!T$9-1)*Timeline!T$8</f>
        <v>2728295.5856659897</v>
      </c>
      <c r="U7" s="36">
        <f>+$C$7*(1-Inputs!$F$11)^(Timeline!U$9-1)*Timeline!U$8</f>
        <v>2714654.1077376599</v>
      </c>
      <c r="V7" s="36">
        <f>+$C$7*(1-Inputs!$F$11)^(Timeline!V$9-1)*Timeline!V$8</f>
        <v>2701080.8371989713</v>
      </c>
      <c r="W7" s="36">
        <f>+$C$7*(1-Inputs!$F$11)^(Timeline!W$9-1)*Timeline!W$8</f>
        <v>2687575.4330129763</v>
      </c>
      <c r="X7" s="36">
        <f>+$C$7*(1-Inputs!$F$11)^(Timeline!X$9-1)*Timeline!X$8</f>
        <v>2674137.5558479116</v>
      </c>
      <c r="Y7" s="36">
        <f>+$C$7*(1-Inputs!$F$11)^(Timeline!Y$9-1)*Timeline!Y$8</f>
        <v>2660766.8680686718</v>
      </c>
      <c r="Z7" s="36">
        <f>+$C$7*(1-Inputs!$F$11)^(Timeline!Z$9-1)*Timeline!Z$8</f>
        <v>2647463.0337283285</v>
      </c>
      <c r="AA7" s="36">
        <f>+$C$7*(1-Inputs!$F$11)^(Timeline!AA$9-1)*Timeline!AA$8</f>
        <v>2634225.718559687</v>
      </c>
      <c r="AB7" s="36">
        <f>+$C$7*(1-Inputs!$F$11)^(Timeline!AB$9-1)*Timeline!AB$8</f>
        <v>2621054.5899668885</v>
      </c>
      <c r="AC7" s="36">
        <f>+$C$7*(1-Inputs!$F$11)^(Timeline!AC$9-1)*Timeline!AC$8</f>
        <v>2607949.3170170542</v>
      </c>
      <c r="AD7" s="36">
        <f>+$C$7*(1-Inputs!$F$11)^(Timeline!AD$9-1)*Timeline!AD$8</f>
        <v>2594909.5704319687</v>
      </c>
      <c r="AE7" s="36">
        <f>+$C$7*(1-Inputs!$F$11)^(Timeline!AE$9-1)*Timeline!AE$8</f>
        <v>2581935.0225798092</v>
      </c>
      <c r="AF7" s="36">
        <f>+$C$7*(1-Inputs!$F$11)^(Timeline!AF$9-1)*Timeline!AF$8</f>
        <v>2569025.3474669103</v>
      </c>
      <c r="AG7" s="36">
        <f>+$C$7*(1-Inputs!$F$11)^(Timeline!AG$9-1)*Timeline!AG$8</f>
        <v>2556180.2207295755</v>
      </c>
      <c r="AH7" s="36">
        <f>+$C$7*(1-Inputs!$F$11)^(Timeline!AH$9-1)*Timeline!AH$8</f>
        <v>2543399.3196259276</v>
      </c>
      <c r="AI7" s="36">
        <f>+$C$7*(1-Inputs!$F$11)^(Timeline!AI$9-1)*Timeline!AI$8</f>
        <v>2530682.3230277984</v>
      </c>
      <c r="AJ7" s="36">
        <f>+$C$7*(1-Inputs!$F$11)^(Timeline!AJ$9-1)*Timeline!AJ$8</f>
        <v>2518028.9114126596</v>
      </c>
      <c r="AK7" s="36">
        <f>+$C$7*(1-Inputs!$F$11)^(Timeline!AK$9-1)*Timeline!AK$8</f>
        <v>0</v>
      </c>
      <c r="AL7" s="36">
        <f>+$C$7*(1-Inputs!$F$11)^(Timeline!AL$9-1)*Timeline!AL$8</f>
        <v>0</v>
      </c>
      <c r="AM7" s="36">
        <f>+$C$7*(1-Inputs!$F$11)^(Timeline!AM$9-1)*Timeline!AM$8</f>
        <v>0</v>
      </c>
      <c r="AN7" s="36">
        <f>+$C$7*(1-Inputs!$F$11)^(Timeline!AN$9-1)*Timeline!AN$8</f>
        <v>0</v>
      </c>
      <c r="AO7" s="36">
        <f>+$C$7*(1-Inputs!$F$11)^(Timeline!AO$9-1)*Timeline!AO$8</f>
        <v>0</v>
      </c>
      <c r="AP7" s="36">
        <f>+$C$7*(1-Inputs!$F$11)^(Timeline!AP$9-1)*Timeline!AP$8</f>
        <v>0</v>
      </c>
      <c r="AQ7" s="36">
        <f>+$C$7*(1-Inputs!$F$11)^(Timeline!AQ$9-1)*Timeline!AQ$8</f>
        <v>0</v>
      </c>
      <c r="AR7" s="36">
        <f>+$C$7*(1-Inputs!$F$11)^(Timeline!AR$9-1)*Timeline!AR$8</f>
        <v>0</v>
      </c>
      <c r="AS7" s="36">
        <f>+$C$7*(1-Inputs!$F$11)^(Timeline!AS$9-1)*Timeline!AS$8</f>
        <v>0</v>
      </c>
      <c r="AT7" s="36">
        <f>+$C$7*(1-Inputs!$F$11)^(Timeline!AT$9-1)*Timeline!AT$8</f>
        <v>0</v>
      </c>
      <c r="AU7" s="36">
        <f>+$C$7*(1-Inputs!$F$11)^(Timeline!AU$9-1)*Timeline!AU$8</f>
        <v>0</v>
      </c>
      <c r="AV7" s="36">
        <f>+$C$7*(1-Inputs!$F$11)^(Timeline!AV$9-1)*Timeline!AV$8</f>
        <v>0</v>
      </c>
      <c r="AW7" s="36">
        <f>+$C$7*(1-Inputs!$F$11)^(Timeline!AW$9-1)*Timeline!AW$8</f>
        <v>0</v>
      </c>
    </row>
    <row r="8" spans="1:49" x14ac:dyDescent="0.2">
      <c r="A8" s="12" t="s">
        <v>206</v>
      </c>
      <c r="B8" s="13"/>
      <c r="C8" s="13"/>
      <c r="D8" s="13"/>
      <c r="E8" s="13"/>
      <c r="F8" s="13"/>
      <c r="G8" s="13"/>
      <c r="H8" s="13"/>
      <c r="I8" s="13"/>
      <c r="J8" s="13"/>
      <c r="K8" s="13"/>
      <c r="L8" s="13"/>
      <c r="M8" s="13"/>
      <c r="N8" s="13"/>
      <c r="O8" s="13"/>
      <c r="P8" s="13"/>
      <c r="Q8" s="13"/>
      <c r="R8" s="13"/>
      <c r="S8" s="13"/>
      <c r="T8" s="13"/>
      <c r="U8" s="13"/>
      <c r="V8" s="13"/>
      <c r="W8" s="13"/>
      <c r="X8" s="13"/>
      <c r="Y8" s="13"/>
      <c r="Z8" s="13"/>
      <c r="AA8" s="13"/>
      <c r="AB8" s="13"/>
      <c r="AC8" s="13"/>
      <c r="AD8" s="13"/>
      <c r="AE8" s="13"/>
      <c r="AF8" s="13"/>
      <c r="AG8" s="13"/>
      <c r="AH8" s="13"/>
      <c r="AI8" s="13"/>
      <c r="AJ8" s="13"/>
      <c r="AK8" s="13"/>
      <c r="AL8" s="13"/>
      <c r="AM8" s="13"/>
      <c r="AN8" s="13"/>
      <c r="AO8" s="13"/>
      <c r="AP8" s="13"/>
      <c r="AQ8" s="13"/>
      <c r="AR8" s="13"/>
      <c r="AS8" s="13"/>
      <c r="AT8" s="13"/>
      <c r="AU8" s="13"/>
      <c r="AV8" s="13"/>
      <c r="AW8" s="13"/>
    </row>
    <row r="9" spans="1:49" x14ac:dyDescent="0.2">
      <c r="A9" s="4" t="s">
        <v>18</v>
      </c>
      <c r="B9" s="2" t="s">
        <v>207</v>
      </c>
      <c r="C9" s="34">
        <f>+Inputs!$F$20*10</f>
        <v>14.1</v>
      </c>
      <c r="D9" s="2" t="s">
        <v>349</v>
      </c>
      <c r="E9" s="35">
        <f>+$C$9</f>
        <v>14.1</v>
      </c>
      <c r="F9" s="35">
        <f t="shared" ref="F9:AW9" si="0">+$C$9</f>
        <v>14.1</v>
      </c>
      <c r="G9" s="35">
        <f t="shared" si="0"/>
        <v>14.1</v>
      </c>
      <c r="H9" s="35">
        <f t="shared" si="0"/>
        <v>14.1</v>
      </c>
      <c r="I9" s="35">
        <f t="shared" si="0"/>
        <v>14.1</v>
      </c>
      <c r="J9" s="35">
        <f t="shared" si="0"/>
        <v>14.1</v>
      </c>
      <c r="K9" s="35">
        <f t="shared" si="0"/>
        <v>14.1</v>
      </c>
      <c r="L9" s="35">
        <f t="shared" si="0"/>
        <v>14.1</v>
      </c>
      <c r="M9" s="35">
        <f t="shared" si="0"/>
        <v>14.1</v>
      </c>
      <c r="N9" s="35">
        <f t="shared" si="0"/>
        <v>14.1</v>
      </c>
      <c r="O9" s="35">
        <f t="shared" si="0"/>
        <v>14.1</v>
      </c>
      <c r="P9" s="35">
        <f t="shared" si="0"/>
        <v>14.1</v>
      </c>
      <c r="Q9" s="35">
        <f t="shared" si="0"/>
        <v>14.1</v>
      </c>
      <c r="R9" s="35">
        <f t="shared" si="0"/>
        <v>14.1</v>
      </c>
      <c r="S9" s="35">
        <f t="shared" si="0"/>
        <v>14.1</v>
      </c>
      <c r="T9" s="35">
        <f t="shared" si="0"/>
        <v>14.1</v>
      </c>
      <c r="U9" s="35">
        <f t="shared" si="0"/>
        <v>14.1</v>
      </c>
      <c r="V9" s="35">
        <f t="shared" si="0"/>
        <v>14.1</v>
      </c>
      <c r="W9" s="35">
        <f t="shared" si="0"/>
        <v>14.1</v>
      </c>
      <c r="X9" s="35">
        <f t="shared" si="0"/>
        <v>14.1</v>
      </c>
      <c r="Y9" s="35">
        <f t="shared" si="0"/>
        <v>14.1</v>
      </c>
      <c r="Z9" s="35">
        <f t="shared" si="0"/>
        <v>14.1</v>
      </c>
      <c r="AA9" s="35">
        <f t="shared" si="0"/>
        <v>14.1</v>
      </c>
      <c r="AB9" s="35">
        <f t="shared" si="0"/>
        <v>14.1</v>
      </c>
      <c r="AC9" s="35">
        <f t="shared" si="0"/>
        <v>14.1</v>
      </c>
      <c r="AD9" s="35">
        <f t="shared" si="0"/>
        <v>14.1</v>
      </c>
      <c r="AE9" s="35">
        <f t="shared" si="0"/>
        <v>14.1</v>
      </c>
      <c r="AF9" s="35">
        <f t="shared" si="0"/>
        <v>14.1</v>
      </c>
      <c r="AG9" s="35">
        <f t="shared" si="0"/>
        <v>14.1</v>
      </c>
      <c r="AH9" s="35">
        <f t="shared" si="0"/>
        <v>14.1</v>
      </c>
      <c r="AI9" s="35">
        <f t="shared" si="0"/>
        <v>14.1</v>
      </c>
      <c r="AJ9" s="35">
        <f t="shared" si="0"/>
        <v>14.1</v>
      </c>
      <c r="AK9" s="35">
        <f t="shared" si="0"/>
        <v>14.1</v>
      </c>
      <c r="AL9" s="35">
        <f t="shared" si="0"/>
        <v>14.1</v>
      </c>
      <c r="AM9" s="35">
        <f t="shared" si="0"/>
        <v>14.1</v>
      </c>
      <c r="AN9" s="35">
        <f t="shared" si="0"/>
        <v>14.1</v>
      </c>
      <c r="AO9" s="35">
        <f t="shared" si="0"/>
        <v>14.1</v>
      </c>
      <c r="AP9" s="35">
        <f t="shared" si="0"/>
        <v>14.1</v>
      </c>
      <c r="AQ9" s="35">
        <f t="shared" si="0"/>
        <v>14.1</v>
      </c>
      <c r="AR9" s="35">
        <f t="shared" si="0"/>
        <v>14.1</v>
      </c>
      <c r="AS9" s="35">
        <f t="shared" si="0"/>
        <v>14.1</v>
      </c>
      <c r="AT9" s="35">
        <f t="shared" si="0"/>
        <v>14.1</v>
      </c>
      <c r="AU9" s="35">
        <f t="shared" si="0"/>
        <v>14.1</v>
      </c>
      <c r="AV9" s="35">
        <f t="shared" si="0"/>
        <v>14.1</v>
      </c>
      <c r="AW9" s="35">
        <f t="shared" si="0"/>
        <v>14.1</v>
      </c>
    </row>
    <row r="10" spans="1:49" x14ac:dyDescent="0.2">
      <c r="A10" s="4" t="s">
        <v>80</v>
      </c>
      <c r="B10" s="2" t="s">
        <v>208</v>
      </c>
      <c r="C10" s="37">
        <f>+C9*C7</f>
        <v>41059200</v>
      </c>
      <c r="D10" s="2"/>
      <c r="E10" s="36">
        <f>+E9*E7</f>
        <v>0</v>
      </c>
      <c r="F10" s="36">
        <f t="shared" ref="F10:AW10" si="1">+F9*F7</f>
        <v>0</v>
      </c>
      <c r="G10" s="36">
        <f t="shared" si="1"/>
        <v>41059200</v>
      </c>
      <c r="H10" s="36">
        <f t="shared" si="1"/>
        <v>40853904</v>
      </c>
      <c r="I10" s="36">
        <f t="shared" si="1"/>
        <v>40649634.480000004</v>
      </c>
      <c r="J10" s="36">
        <f t="shared" si="1"/>
        <v>40446386.307599999</v>
      </c>
      <c r="K10" s="36">
        <f t="shared" si="1"/>
        <v>40244154.376062006</v>
      </c>
      <c r="L10" s="36">
        <f t="shared" si="1"/>
        <v>40042933.604181692</v>
      </c>
      <c r="M10" s="36">
        <f t="shared" si="1"/>
        <v>39842718.936160788</v>
      </c>
      <c r="N10" s="36">
        <f t="shared" si="1"/>
        <v>39643505.341479979</v>
      </c>
      <c r="O10" s="36">
        <f t="shared" si="1"/>
        <v>39445287.814772584</v>
      </c>
      <c r="P10" s="36">
        <f t="shared" si="1"/>
        <v>39248061.375698715</v>
      </c>
      <c r="Q10" s="36">
        <f t="shared" si="1"/>
        <v>39051821.068820223</v>
      </c>
      <c r="R10" s="36">
        <f t="shared" si="1"/>
        <v>38856561.963476121</v>
      </c>
      <c r="S10" s="36">
        <f t="shared" si="1"/>
        <v>38662279.15365874</v>
      </c>
      <c r="T10" s="36">
        <f t="shared" si="1"/>
        <v>38468967.757890455</v>
      </c>
      <c r="U10" s="36">
        <f t="shared" si="1"/>
        <v>38276622.919101007</v>
      </c>
      <c r="V10" s="36">
        <f t="shared" si="1"/>
        <v>38085239.804505497</v>
      </c>
      <c r="W10" s="36">
        <f t="shared" si="1"/>
        <v>37894813.605482966</v>
      </c>
      <c r="X10" s="36">
        <f t="shared" si="1"/>
        <v>37705339.537455551</v>
      </c>
      <c r="Y10" s="36">
        <f t="shared" si="1"/>
        <v>37516812.839768268</v>
      </c>
      <c r="Z10" s="36">
        <f t="shared" si="1"/>
        <v>37329228.775569431</v>
      </c>
      <c r="AA10" s="36">
        <f t="shared" si="1"/>
        <v>37142582.631691583</v>
      </c>
      <c r="AB10" s="36">
        <f t="shared" si="1"/>
        <v>36956869.718533128</v>
      </c>
      <c r="AC10" s="36">
        <f t="shared" si="1"/>
        <v>36772085.36994046</v>
      </c>
      <c r="AD10" s="36">
        <f t="shared" si="1"/>
        <v>36588224.943090759</v>
      </c>
      <c r="AE10" s="36">
        <f t="shared" si="1"/>
        <v>36405283.818375312</v>
      </c>
      <c r="AF10" s="36">
        <f t="shared" si="1"/>
        <v>36223257.399283431</v>
      </c>
      <c r="AG10" s="36">
        <f t="shared" si="1"/>
        <v>36042141.112287015</v>
      </c>
      <c r="AH10" s="36">
        <f t="shared" si="1"/>
        <v>35861930.406725578</v>
      </c>
      <c r="AI10" s="36">
        <f t="shared" si="1"/>
        <v>35682620.754691958</v>
      </c>
      <c r="AJ10" s="36">
        <f t="shared" si="1"/>
        <v>35504207.650918499</v>
      </c>
      <c r="AK10" s="36">
        <f t="shared" si="1"/>
        <v>0</v>
      </c>
      <c r="AL10" s="36">
        <f t="shared" si="1"/>
        <v>0</v>
      </c>
      <c r="AM10" s="36">
        <f t="shared" si="1"/>
        <v>0</v>
      </c>
      <c r="AN10" s="36">
        <f t="shared" si="1"/>
        <v>0</v>
      </c>
      <c r="AO10" s="36">
        <f t="shared" si="1"/>
        <v>0</v>
      </c>
      <c r="AP10" s="36">
        <f t="shared" si="1"/>
        <v>0</v>
      </c>
      <c r="AQ10" s="36">
        <f t="shared" si="1"/>
        <v>0</v>
      </c>
      <c r="AR10" s="36">
        <f t="shared" si="1"/>
        <v>0</v>
      </c>
      <c r="AS10" s="36">
        <f t="shared" si="1"/>
        <v>0</v>
      </c>
      <c r="AT10" s="36">
        <f t="shared" si="1"/>
        <v>0</v>
      </c>
      <c r="AU10" s="36">
        <f t="shared" si="1"/>
        <v>0</v>
      </c>
      <c r="AV10" s="36">
        <f t="shared" si="1"/>
        <v>0</v>
      </c>
      <c r="AW10" s="36">
        <f t="shared" si="1"/>
        <v>0</v>
      </c>
    </row>
    <row r="11" spans="1:49" x14ac:dyDescent="0.2">
      <c r="A11" s="4" t="s">
        <v>209</v>
      </c>
      <c r="B11" s="2" t="s">
        <v>208</v>
      </c>
      <c r="C11" s="32">
        <f>+Inputs!$F$8*1000*Inputs!$F$18</f>
        <v>11000000</v>
      </c>
      <c r="D11" s="2"/>
      <c r="E11" s="36">
        <f>+$C$11*Timeline!E$8</f>
        <v>0</v>
      </c>
      <c r="F11" s="36">
        <f>+$C$11*Timeline!F$8</f>
        <v>0</v>
      </c>
      <c r="G11" s="36">
        <f>+$C$11*Timeline!G$8</f>
        <v>11000000</v>
      </c>
      <c r="H11" s="36">
        <f>+$C$11*Timeline!H$8</f>
        <v>11000000</v>
      </c>
      <c r="I11" s="36">
        <f>+$C$11*Timeline!I$8</f>
        <v>11000000</v>
      </c>
      <c r="J11" s="36">
        <f>+$C$11*Timeline!J$8</f>
        <v>11000000</v>
      </c>
      <c r="K11" s="36">
        <f>+$C$11*Timeline!K$8</f>
        <v>11000000</v>
      </c>
      <c r="L11" s="36">
        <f>+$C$11*Timeline!L$8</f>
        <v>11000000</v>
      </c>
      <c r="M11" s="36">
        <f>+$C$11*Timeline!M$8</f>
        <v>11000000</v>
      </c>
      <c r="N11" s="36">
        <f>+$C$11*Timeline!N$8</f>
        <v>11000000</v>
      </c>
      <c r="O11" s="36">
        <f>+$C$11*Timeline!O$8</f>
        <v>11000000</v>
      </c>
      <c r="P11" s="36">
        <f>+$C$11*Timeline!P$8</f>
        <v>11000000</v>
      </c>
      <c r="Q11" s="36">
        <f>+$C$11*Timeline!Q$8</f>
        <v>11000000</v>
      </c>
      <c r="R11" s="36">
        <f>+$C$11*Timeline!R$8</f>
        <v>11000000</v>
      </c>
      <c r="S11" s="36">
        <f>+$C$11*Timeline!S$8</f>
        <v>11000000</v>
      </c>
      <c r="T11" s="36">
        <f>+$C$11*Timeline!T$8</f>
        <v>11000000</v>
      </c>
      <c r="U11" s="36">
        <f>+$C$11*Timeline!U$8</f>
        <v>11000000</v>
      </c>
      <c r="V11" s="36">
        <f>+$C$11*Timeline!V$8</f>
        <v>11000000</v>
      </c>
      <c r="W11" s="36">
        <f>+$C$11*Timeline!W$8</f>
        <v>11000000</v>
      </c>
      <c r="X11" s="36">
        <f>+$C$11*Timeline!X$8</f>
        <v>11000000</v>
      </c>
      <c r="Y11" s="36">
        <f>+$C$11*Timeline!Y$8</f>
        <v>11000000</v>
      </c>
      <c r="Z11" s="36">
        <f>+$C$11*Timeline!Z$8</f>
        <v>11000000</v>
      </c>
      <c r="AA11" s="36">
        <f>+$C$11*Timeline!AA$8</f>
        <v>11000000</v>
      </c>
      <c r="AB11" s="36">
        <f>+$C$11*Timeline!AB$8</f>
        <v>11000000</v>
      </c>
      <c r="AC11" s="36">
        <f>+$C$11*Timeline!AC$8</f>
        <v>11000000</v>
      </c>
      <c r="AD11" s="36">
        <f>+$C$11*Timeline!AD$8</f>
        <v>11000000</v>
      </c>
      <c r="AE11" s="36">
        <f>+$C$11*Timeline!AE$8</f>
        <v>11000000</v>
      </c>
      <c r="AF11" s="36">
        <f>+$C$11*Timeline!AF$8</f>
        <v>11000000</v>
      </c>
      <c r="AG11" s="36">
        <f>+$C$11*Timeline!AG$8</f>
        <v>11000000</v>
      </c>
      <c r="AH11" s="36">
        <f>+$C$11*Timeline!AH$8</f>
        <v>11000000</v>
      </c>
      <c r="AI11" s="36">
        <f>+$C$11*Timeline!AI$8</f>
        <v>11000000</v>
      </c>
      <c r="AJ11" s="36">
        <f>+$C$11*Timeline!AJ$8</f>
        <v>11000000</v>
      </c>
      <c r="AK11" s="36">
        <f>+$C$11*Timeline!AK$8</f>
        <v>0</v>
      </c>
      <c r="AL11" s="36">
        <f>+$C$11*Timeline!AL$8</f>
        <v>0</v>
      </c>
      <c r="AM11" s="36">
        <f>+$C$11*Timeline!AM$8</f>
        <v>0</v>
      </c>
      <c r="AN11" s="36">
        <f>+$C$11*Timeline!AN$8</f>
        <v>0</v>
      </c>
      <c r="AO11" s="36">
        <f>+$C$11*Timeline!AO$8</f>
        <v>0</v>
      </c>
      <c r="AP11" s="36">
        <f>+$C$11*Timeline!AP$8</f>
        <v>0</v>
      </c>
      <c r="AQ11" s="36">
        <f>+$C$11*Timeline!AQ$8</f>
        <v>0</v>
      </c>
      <c r="AR11" s="36">
        <f>+$C$11*Timeline!AR$8</f>
        <v>0</v>
      </c>
      <c r="AS11" s="36">
        <f>+$C$11*Timeline!AS$8</f>
        <v>0</v>
      </c>
      <c r="AT11" s="36">
        <f>+$C$11*Timeline!AT$8</f>
        <v>0</v>
      </c>
      <c r="AU11" s="36">
        <f>+$C$11*Timeline!AU$8</f>
        <v>0</v>
      </c>
      <c r="AV11" s="36">
        <f>+$C$11*Timeline!AV$8</f>
        <v>0</v>
      </c>
      <c r="AW11" s="36">
        <f>+$C$11*Timeline!AW$8</f>
        <v>0</v>
      </c>
    </row>
    <row r="12" spans="1:49" x14ac:dyDescent="0.2">
      <c r="A12" s="4" t="s">
        <v>210</v>
      </c>
      <c r="B12" s="2" t="s">
        <v>208</v>
      </c>
      <c r="C12" s="37">
        <f>+C10-C11</f>
        <v>30059200</v>
      </c>
      <c r="D12" s="2"/>
      <c r="E12" s="36">
        <f>+E10-E11</f>
        <v>0</v>
      </c>
      <c r="F12" s="36">
        <f t="shared" ref="F12:AW12" si="2">+F10-F11</f>
        <v>0</v>
      </c>
      <c r="G12" s="36">
        <f t="shared" si="2"/>
        <v>30059200</v>
      </c>
      <c r="H12" s="36">
        <f t="shared" si="2"/>
        <v>29853904</v>
      </c>
      <c r="I12" s="36">
        <f t="shared" si="2"/>
        <v>29649634.480000004</v>
      </c>
      <c r="J12" s="36">
        <f t="shared" si="2"/>
        <v>29446386.307599999</v>
      </c>
      <c r="K12" s="36">
        <f t="shared" si="2"/>
        <v>29244154.376062006</v>
      </c>
      <c r="L12" s="36">
        <f t="shared" si="2"/>
        <v>29042933.604181692</v>
      </c>
      <c r="M12" s="36">
        <f t="shared" si="2"/>
        <v>28842718.936160788</v>
      </c>
      <c r="N12" s="36">
        <f t="shared" si="2"/>
        <v>28643505.341479979</v>
      </c>
      <c r="O12" s="36">
        <f t="shared" si="2"/>
        <v>28445287.814772584</v>
      </c>
      <c r="P12" s="36">
        <f t="shared" si="2"/>
        <v>28248061.375698715</v>
      </c>
      <c r="Q12" s="36">
        <f t="shared" si="2"/>
        <v>28051821.068820223</v>
      </c>
      <c r="R12" s="36">
        <f t="shared" si="2"/>
        <v>27856561.963476121</v>
      </c>
      <c r="S12" s="36">
        <f t="shared" si="2"/>
        <v>27662279.15365874</v>
      </c>
      <c r="T12" s="36">
        <f t="shared" si="2"/>
        <v>27468967.757890455</v>
      </c>
      <c r="U12" s="36">
        <f t="shared" si="2"/>
        <v>27276622.919101007</v>
      </c>
      <c r="V12" s="36">
        <f t="shared" si="2"/>
        <v>27085239.804505497</v>
      </c>
      <c r="W12" s="36">
        <f t="shared" si="2"/>
        <v>26894813.605482966</v>
      </c>
      <c r="X12" s="36">
        <f t="shared" si="2"/>
        <v>26705339.537455551</v>
      </c>
      <c r="Y12" s="36">
        <f t="shared" si="2"/>
        <v>26516812.839768268</v>
      </c>
      <c r="Z12" s="36">
        <f t="shared" si="2"/>
        <v>26329228.775569431</v>
      </c>
      <c r="AA12" s="36">
        <f t="shared" si="2"/>
        <v>26142582.631691583</v>
      </c>
      <c r="AB12" s="36">
        <f t="shared" si="2"/>
        <v>25956869.718533128</v>
      </c>
      <c r="AC12" s="36">
        <f t="shared" si="2"/>
        <v>25772085.36994046</v>
      </c>
      <c r="AD12" s="36">
        <f t="shared" si="2"/>
        <v>25588224.943090759</v>
      </c>
      <c r="AE12" s="36">
        <f t="shared" si="2"/>
        <v>25405283.818375312</v>
      </c>
      <c r="AF12" s="36">
        <f t="shared" si="2"/>
        <v>25223257.399283431</v>
      </c>
      <c r="AG12" s="36">
        <f t="shared" si="2"/>
        <v>25042141.112287015</v>
      </c>
      <c r="AH12" s="36">
        <f t="shared" si="2"/>
        <v>24861930.406725578</v>
      </c>
      <c r="AI12" s="36">
        <f t="shared" si="2"/>
        <v>24682620.754691958</v>
      </c>
      <c r="AJ12" s="36">
        <f t="shared" si="2"/>
        <v>24504207.650918499</v>
      </c>
      <c r="AK12" s="36">
        <f t="shared" si="2"/>
        <v>0</v>
      </c>
      <c r="AL12" s="36">
        <f t="shared" si="2"/>
        <v>0</v>
      </c>
      <c r="AM12" s="36">
        <f t="shared" si="2"/>
        <v>0</v>
      </c>
      <c r="AN12" s="36">
        <f t="shared" si="2"/>
        <v>0</v>
      </c>
      <c r="AO12" s="36">
        <f t="shared" si="2"/>
        <v>0</v>
      </c>
      <c r="AP12" s="36">
        <f t="shared" si="2"/>
        <v>0</v>
      </c>
      <c r="AQ12" s="36">
        <f t="shared" si="2"/>
        <v>0</v>
      </c>
      <c r="AR12" s="36">
        <f t="shared" si="2"/>
        <v>0</v>
      </c>
      <c r="AS12" s="36">
        <f t="shared" si="2"/>
        <v>0</v>
      </c>
      <c r="AT12" s="36">
        <f t="shared" si="2"/>
        <v>0</v>
      </c>
      <c r="AU12" s="36">
        <f t="shared" si="2"/>
        <v>0</v>
      </c>
      <c r="AV12" s="36">
        <f t="shared" si="2"/>
        <v>0</v>
      </c>
      <c r="AW12" s="36">
        <f t="shared" si="2"/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W16"/>
  <sheetViews>
    <sheetView showGridLines="0" zoomScale="80" zoomScaleNormal="80" workbookViewId="0">
      <pane xSplit="4" ySplit="4" topLeftCell="E5" activePane="bottomRight" state="frozen"/>
      <selection pane="topRight"/>
      <selection pane="bottomLeft"/>
      <selection pane="bottomRight"/>
    </sheetView>
  </sheetViews>
  <sheetFormatPr baseColWidth="10" defaultColWidth="8.83203125" defaultRowHeight="15" x14ac:dyDescent="0.2"/>
  <cols>
    <col min="1" max="1" width="38" customWidth="1"/>
    <col min="2" max="2" width="12" customWidth="1"/>
    <col min="3" max="3" width="15" customWidth="1"/>
    <col min="4" max="4" width="30" customWidth="1"/>
    <col min="5" max="44" width="11" customWidth="1"/>
    <col min="45" max="49" width="12.6640625" bestFit="1" customWidth="1"/>
  </cols>
  <sheetData>
    <row r="1" spans="1:49" ht="18" x14ac:dyDescent="0.2">
      <c r="A1" s="1" t="s">
        <v>211</v>
      </c>
    </row>
    <row r="2" spans="1:49" x14ac:dyDescent="0.2">
      <c r="A2" s="2" t="s">
        <v>353</v>
      </c>
    </row>
    <row r="4" spans="1:49" x14ac:dyDescent="0.2">
      <c r="A4" s="11" t="s">
        <v>143</v>
      </c>
      <c r="B4" s="11" t="s">
        <v>31</v>
      </c>
      <c r="C4" s="11" t="s">
        <v>144</v>
      </c>
      <c r="D4" s="11" t="s">
        <v>145</v>
      </c>
      <c r="E4" s="11" t="s">
        <v>0</v>
      </c>
      <c r="F4" s="11" t="s">
        <v>1</v>
      </c>
      <c r="G4" s="11" t="s">
        <v>2</v>
      </c>
      <c r="H4" s="11" t="s">
        <v>3</v>
      </c>
      <c r="I4" s="11" t="s">
        <v>146</v>
      </c>
      <c r="J4" s="11" t="s">
        <v>147</v>
      </c>
      <c r="K4" s="11" t="s">
        <v>148</v>
      </c>
      <c r="L4" s="11" t="s">
        <v>149</v>
      </c>
      <c r="M4" s="11" t="s">
        <v>150</v>
      </c>
      <c r="N4" s="11" t="s">
        <v>151</v>
      </c>
      <c r="O4" s="11" t="s">
        <v>152</v>
      </c>
      <c r="P4" s="11" t="s">
        <v>153</v>
      </c>
      <c r="Q4" s="11" t="s">
        <v>154</v>
      </c>
      <c r="R4" s="11" t="s">
        <v>155</v>
      </c>
      <c r="S4" s="11" t="s">
        <v>156</v>
      </c>
      <c r="T4" s="11" t="s">
        <v>157</v>
      </c>
      <c r="U4" s="11" t="s">
        <v>158</v>
      </c>
      <c r="V4" s="11" t="s">
        <v>159</v>
      </c>
      <c r="W4" s="11" t="s">
        <v>160</v>
      </c>
      <c r="X4" s="11" t="s">
        <v>161</v>
      </c>
      <c r="Y4" s="11" t="s">
        <v>162</v>
      </c>
      <c r="Z4" s="11" t="s">
        <v>163</v>
      </c>
      <c r="AA4" s="11" t="s">
        <v>164</v>
      </c>
      <c r="AB4" s="11" t="s">
        <v>165</v>
      </c>
      <c r="AC4" s="11" t="s">
        <v>166</v>
      </c>
      <c r="AD4" s="11" t="s">
        <v>167</v>
      </c>
      <c r="AE4" s="11" t="s">
        <v>168</v>
      </c>
      <c r="AF4" s="11" t="s">
        <v>169</v>
      </c>
      <c r="AG4" s="11" t="s">
        <v>170</v>
      </c>
      <c r="AH4" s="11" t="s">
        <v>171</v>
      </c>
      <c r="AI4" s="11" t="s">
        <v>172</v>
      </c>
      <c r="AJ4" s="11" t="s">
        <v>173</v>
      </c>
      <c r="AK4" s="11" t="s">
        <v>174</v>
      </c>
      <c r="AL4" s="11" t="s">
        <v>175</v>
      </c>
      <c r="AM4" s="11" t="s">
        <v>176</v>
      </c>
      <c r="AN4" s="11" t="s">
        <v>177</v>
      </c>
      <c r="AO4" s="11" t="s">
        <v>178</v>
      </c>
      <c r="AP4" s="11" t="s">
        <v>179</v>
      </c>
      <c r="AQ4" s="11" t="s">
        <v>180</v>
      </c>
      <c r="AR4" s="11" t="s">
        <v>181</v>
      </c>
      <c r="AS4" s="11" t="s">
        <v>182</v>
      </c>
      <c r="AT4" s="11" t="s">
        <v>183</v>
      </c>
      <c r="AU4" s="11" t="s">
        <v>184</v>
      </c>
      <c r="AV4" s="11" t="s">
        <v>185</v>
      </c>
      <c r="AW4" s="11" t="s">
        <v>186</v>
      </c>
    </row>
    <row r="5" spans="1:49" x14ac:dyDescent="0.2">
      <c r="A5" s="12" t="s">
        <v>212</v>
      </c>
      <c r="B5" s="13"/>
      <c r="C5" s="13"/>
      <c r="D5" s="13"/>
      <c r="E5" s="13"/>
      <c r="F5" s="13"/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  <c r="AB5" s="13"/>
      <c r="AC5" s="13"/>
      <c r="AD5" s="13"/>
      <c r="AE5" s="13"/>
      <c r="AF5" s="13"/>
      <c r="AG5" s="13"/>
      <c r="AH5" s="13"/>
      <c r="AI5" s="13"/>
      <c r="AJ5" s="13"/>
      <c r="AK5" s="13"/>
      <c r="AL5" s="13"/>
      <c r="AM5" s="13"/>
      <c r="AN5" s="13"/>
      <c r="AO5" s="13"/>
      <c r="AP5" s="13"/>
      <c r="AQ5" s="13"/>
      <c r="AR5" s="13"/>
      <c r="AS5" s="13"/>
      <c r="AT5" s="13"/>
      <c r="AU5" s="13"/>
      <c r="AV5" s="13"/>
      <c r="AW5" s="13"/>
    </row>
    <row r="6" spans="1:49" x14ac:dyDescent="0.2">
      <c r="A6" s="4" t="s">
        <v>213</v>
      </c>
      <c r="B6" s="2" t="s">
        <v>208</v>
      </c>
      <c r="C6" s="32">
        <f>+Inputs!$F$17*Inputs!$F$8*1000</f>
        <v>550000000</v>
      </c>
      <c r="D6" s="2" t="s">
        <v>343</v>
      </c>
      <c r="E6" s="38">
        <f>+$C$6*Timeline!E$6*Inputs!$F$14</f>
        <v>220000000</v>
      </c>
      <c r="F6" s="38">
        <f>+$C$6*Timeline!F$6*Inputs!$F$15</f>
        <v>330000000</v>
      </c>
      <c r="G6" s="38">
        <f>+$C$6*Timeline!G$6</f>
        <v>0</v>
      </c>
      <c r="H6" s="38">
        <f>+$C$6*Timeline!H$6</f>
        <v>0</v>
      </c>
      <c r="I6" s="38">
        <f>+$C$6*Timeline!I$6</f>
        <v>0</v>
      </c>
      <c r="J6" s="38">
        <f>+$C$6*Timeline!J$6</f>
        <v>0</v>
      </c>
      <c r="K6" s="38">
        <f>+$C$6*Timeline!K$6</f>
        <v>0</v>
      </c>
      <c r="L6" s="38">
        <f>+$C$6*Timeline!L$6</f>
        <v>0</v>
      </c>
      <c r="M6" s="38">
        <f>+$C$6*Timeline!M$6</f>
        <v>0</v>
      </c>
      <c r="N6" s="38">
        <f>+$C$6*Timeline!N$6</f>
        <v>0</v>
      </c>
      <c r="O6" s="38">
        <f>+$C$6*Timeline!O$6</f>
        <v>0</v>
      </c>
      <c r="P6" s="38">
        <f>+$C$6*Timeline!P$6</f>
        <v>0</v>
      </c>
      <c r="Q6" s="38">
        <f>+$C$6*Timeline!Q$6</f>
        <v>0</v>
      </c>
      <c r="R6" s="38">
        <f>+$C$6*Timeline!R$6</f>
        <v>0</v>
      </c>
      <c r="S6" s="38">
        <f>+$C$6*Timeline!S$6</f>
        <v>0</v>
      </c>
      <c r="T6" s="38">
        <f>+$C$6*Timeline!T$6</f>
        <v>0</v>
      </c>
      <c r="U6" s="38">
        <f>+$C$6*Timeline!U$6</f>
        <v>0</v>
      </c>
      <c r="V6" s="38">
        <f>+$C$6*Timeline!V$6</f>
        <v>0</v>
      </c>
      <c r="W6" s="38">
        <f>+$C$6*Timeline!W$6</f>
        <v>0</v>
      </c>
      <c r="X6" s="38">
        <f>+$C$6*Timeline!X$6</f>
        <v>0</v>
      </c>
      <c r="Y6" s="38">
        <f>+$C$6*Timeline!Y$6</f>
        <v>0</v>
      </c>
      <c r="Z6" s="38">
        <f>+$C$6*Timeline!Z$6</f>
        <v>0</v>
      </c>
      <c r="AA6" s="38">
        <f>+$C$6*Timeline!AA$6</f>
        <v>0</v>
      </c>
      <c r="AB6" s="38">
        <f>+$C$6*Timeline!AB$6</f>
        <v>0</v>
      </c>
      <c r="AC6" s="38">
        <f>+$C$6*Timeline!AC$6</f>
        <v>0</v>
      </c>
      <c r="AD6" s="38">
        <f>+$C$6*Timeline!AD$6</f>
        <v>0</v>
      </c>
      <c r="AE6" s="38">
        <f>+$C$6*Timeline!AE$6</f>
        <v>0</v>
      </c>
      <c r="AF6" s="38">
        <f>+$C$6*Timeline!AF$6</f>
        <v>0</v>
      </c>
      <c r="AG6" s="38">
        <f>+$C$6*Timeline!AG$6</f>
        <v>0</v>
      </c>
      <c r="AH6" s="38">
        <f>+$C$6*Timeline!AH$6</f>
        <v>0</v>
      </c>
      <c r="AI6" s="38">
        <f>+$C$6*Timeline!AI$6</f>
        <v>0</v>
      </c>
      <c r="AJ6" s="38">
        <f>+$C$6*Timeline!AJ$6</f>
        <v>0</v>
      </c>
      <c r="AK6" s="38">
        <f>+$C$6*Timeline!AK$6</f>
        <v>0</v>
      </c>
      <c r="AL6" s="38">
        <f>+$C$6*Timeline!AL$6</f>
        <v>0</v>
      </c>
      <c r="AM6" s="38">
        <f>+$C$6*Timeline!AM$6</f>
        <v>0</v>
      </c>
      <c r="AN6" s="38">
        <f>+$C$6*Timeline!AN$6</f>
        <v>0</v>
      </c>
      <c r="AO6" s="38">
        <f>+$C$6*Timeline!AO$6</f>
        <v>0</v>
      </c>
      <c r="AP6" s="38">
        <f>+$C$6*Timeline!AP$6</f>
        <v>0</v>
      </c>
      <c r="AQ6" s="38">
        <f>+$C$6*Timeline!AQ$6</f>
        <v>0</v>
      </c>
      <c r="AR6" s="38">
        <f>+$C$6*Timeline!AR$6</f>
        <v>0</v>
      </c>
      <c r="AS6" s="38">
        <f>+$C$6*Timeline!AS$6</f>
        <v>0</v>
      </c>
      <c r="AT6" s="38">
        <f>+$C$6*Timeline!AT$6</f>
        <v>0</v>
      </c>
      <c r="AU6" s="38">
        <f>+$C$6*Timeline!AU$6</f>
        <v>0</v>
      </c>
      <c r="AV6" s="38">
        <f>+$C$6*Timeline!AV$6</f>
        <v>0</v>
      </c>
      <c r="AW6" s="38">
        <f>+$C$6*Timeline!AW$6</f>
        <v>0</v>
      </c>
    </row>
    <row r="7" spans="1:49" x14ac:dyDescent="0.2">
      <c r="A7" s="4" t="s">
        <v>214</v>
      </c>
      <c r="B7" s="2" t="s">
        <v>208</v>
      </c>
      <c r="C7" s="32">
        <f>+C6*Inputs!$F$23</f>
        <v>396000000</v>
      </c>
      <c r="D7" s="2" t="s">
        <v>344</v>
      </c>
      <c r="E7" s="38">
        <f>+E$6*Inputs!$F$23</f>
        <v>158400000</v>
      </c>
      <c r="F7" s="38">
        <f>+F$6*Inputs!$F$23</f>
        <v>237600000</v>
      </c>
      <c r="G7" s="38">
        <f>+G$6*Inputs!$F$23</f>
        <v>0</v>
      </c>
      <c r="H7" s="38">
        <f>+H$6*Inputs!$F$23</f>
        <v>0</v>
      </c>
      <c r="I7" s="38">
        <f>+I$6*Inputs!$F$23</f>
        <v>0</v>
      </c>
      <c r="J7" s="38">
        <f>+J$6*Inputs!$F$23</f>
        <v>0</v>
      </c>
      <c r="K7" s="38">
        <f>+K$6*Inputs!$F$23</f>
        <v>0</v>
      </c>
      <c r="L7" s="38">
        <f>+L$6*Inputs!$F$23</f>
        <v>0</v>
      </c>
      <c r="M7" s="38">
        <f>+M$6*Inputs!$F$23</f>
        <v>0</v>
      </c>
      <c r="N7" s="38">
        <f>+N$6*Inputs!$F$23</f>
        <v>0</v>
      </c>
      <c r="O7" s="38">
        <f>+O$6*Inputs!$F$23</f>
        <v>0</v>
      </c>
      <c r="P7" s="38">
        <f>+P$6*Inputs!$F$23</f>
        <v>0</v>
      </c>
      <c r="Q7" s="38">
        <f>+Q$6*Inputs!$F$23</f>
        <v>0</v>
      </c>
      <c r="R7" s="38">
        <f>+R$6*Inputs!$F$23</f>
        <v>0</v>
      </c>
      <c r="S7" s="38">
        <f>+S$6*Inputs!$F$23</f>
        <v>0</v>
      </c>
      <c r="T7" s="38">
        <f>+T$6*Inputs!$F$23</f>
        <v>0</v>
      </c>
      <c r="U7" s="38">
        <f>+U$6*Inputs!$F$23</f>
        <v>0</v>
      </c>
      <c r="V7" s="38">
        <f>+V$6*Inputs!$F$23</f>
        <v>0</v>
      </c>
      <c r="W7" s="38">
        <f>+W$6*Inputs!$F$23</f>
        <v>0</v>
      </c>
      <c r="X7" s="38">
        <f>+X$6*Inputs!$F$23</f>
        <v>0</v>
      </c>
      <c r="Y7" s="38">
        <f>+Y$6*Inputs!$F$23</f>
        <v>0</v>
      </c>
      <c r="Z7" s="38">
        <f>+Z$6*Inputs!$F$23</f>
        <v>0</v>
      </c>
      <c r="AA7" s="38">
        <f>+AA$6*Inputs!$F$23</f>
        <v>0</v>
      </c>
      <c r="AB7" s="38">
        <f>+AB$6*Inputs!$F$23</f>
        <v>0</v>
      </c>
      <c r="AC7" s="38">
        <f>+AC$6*Inputs!$F$23</f>
        <v>0</v>
      </c>
      <c r="AD7" s="38">
        <f>+AD$6*Inputs!$F$23</f>
        <v>0</v>
      </c>
      <c r="AE7" s="38">
        <f>+AE$6*Inputs!$F$23</f>
        <v>0</v>
      </c>
      <c r="AF7" s="38">
        <f>+AF$6*Inputs!$F$23</f>
        <v>0</v>
      </c>
      <c r="AG7" s="38">
        <f>+AG$6*Inputs!$F$23</f>
        <v>0</v>
      </c>
      <c r="AH7" s="38">
        <f>+AH$6*Inputs!$F$23</f>
        <v>0</v>
      </c>
      <c r="AI7" s="38">
        <f>+AI$6*Inputs!$F$23</f>
        <v>0</v>
      </c>
      <c r="AJ7" s="38">
        <f>+AJ$6*Inputs!$F$23</f>
        <v>0</v>
      </c>
      <c r="AK7" s="38">
        <f>+AK$6*Inputs!$F$23</f>
        <v>0</v>
      </c>
      <c r="AL7" s="38">
        <f>+AL$6*Inputs!$F$23</f>
        <v>0</v>
      </c>
      <c r="AM7" s="38">
        <f>+AM$6*Inputs!$F$23</f>
        <v>0</v>
      </c>
      <c r="AN7" s="38">
        <f>+AN$6*Inputs!$F$23</f>
        <v>0</v>
      </c>
      <c r="AO7" s="38">
        <f>+AO$6*Inputs!$F$23</f>
        <v>0</v>
      </c>
      <c r="AP7" s="38">
        <f>+AP$6*Inputs!$F$23</f>
        <v>0</v>
      </c>
      <c r="AQ7" s="38">
        <f>+AQ$6*Inputs!$F$23</f>
        <v>0</v>
      </c>
      <c r="AR7" s="38">
        <f>+AR$6*Inputs!$F$23</f>
        <v>0</v>
      </c>
      <c r="AS7" s="38">
        <f>+AS$6*Inputs!$F$23</f>
        <v>0</v>
      </c>
      <c r="AT7" s="38">
        <f>+AT$6*Inputs!$F$23</f>
        <v>0</v>
      </c>
      <c r="AU7" s="38">
        <f>+AU$6*Inputs!$F$23</f>
        <v>0</v>
      </c>
      <c r="AV7" s="38">
        <f>+AV$6*Inputs!$F$23</f>
        <v>0</v>
      </c>
      <c r="AW7" s="38">
        <f>+AW$6*Inputs!$F$23</f>
        <v>0</v>
      </c>
    </row>
    <row r="8" spans="1:49" x14ac:dyDescent="0.2">
      <c r="A8" s="4" t="s">
        <v>215</v>
      </c>
      <c r="B8" s="2" t="s">
        <v>208</v>
      </c>
      <c r="C8" s="37">
        <f>+C6-C7</f>
        <v>154000000</v>
      </c>
      <c r="D8" s="2" t="s">
        <v>345</v>
      </c>
      <c r="E8" s="36">
        <f>+E6-E7</f>
        <v>61600000</v>
      </c>
      <c r="F8" s="36">
        <f>+F6-F7</f>
        <v>92400000</v>
      </c>
      <c r="G8" s="36">
        <f>+G6-G7</f>
        <v>0</v>
      </c>
      <c r="H8" s="36">
        <f t="shared" ref="H8:AW8" si="0">+H6-H7</f>
        <v>0</v>
      </c>
      <c r="I8" s="36">
        <f t="shared" si="0"/>
        <v>0</v>
      </c>
      <c r="J8" s="36">
        <f t="shared" si="0"/>
        <v>0</v>
      </c>
      <c r="K8" s="36">
        <f t="shared" si="0"/>
        <v>0</v>
      </c>
      <c r="L8" s="36">
        <f t="shared" si="0"/>
        <v>0</v>
      </c>
      <c r="M8" s="36">
        <f t="shared" si="0"/>
        <v>0</v>
      </c>
      <c r="N8" s="36">
        <f t="shared" si="0"/>
        <v>0</v>
      </c>
      <c r="O8" s="36">
        <f t="shared" si="0"/>
        <v>0</v>
      </c>
      <c r="P8" s="36">
        <f t="shared" si="0"/>
        <v>0</v>
      </c>
      <c r="Q8" s="36">
        <f t="shared" si="0"/>
        <v>0</v>
      </c>
      <c r="R8" s="36">
        <f t="shared" si="0"/>
        <v>0</v>
      </c>
      <c r="S8" s="36">
        <f t="shared" si="0"/>
        <v>0</v>
      </c>
      <c r="T8" s="36">
        <f t="shared" si="0"/>
        <v>0</v>
      </c>
      <c r="U8" s="36">
        <f t="shared" si="0"/>
        <v>0</v>
      </c>
      <c r="V8" s="36">
        <f t="shared" si="0"/>
        <v>0</v>
      </c>
      <c r="W8" s="36">
        <f t="shared" si="0"/>
        <v>0</v>
      </c>
      <c r="X8" s="36">
        <f t="shared" si="0"/>
        <v>0</v>
      </c>
      <c r="Y8" s="36">
        <f t="shared" si="0"/>
        <v>0</v>
      </c>
      <c r="Z8" s="36">
        <f t="shared" si="0"/>
        <v>0</v>
      </c>
      <c r="AA8" s="36">
        <f t="shared" si="0"/>
        <v>0</v>
      </c>
      <c r="AB8" s="36">
        <f t="shared" si="0"/>
        <v>0</v>
      </c>
      <c r="AC8" s="36">
        <f t="shared" si="0"/>
        <v>0</v>
      </c>
      <c r="AD8" s="36">
        <f t="shared" si="0"/>
        <v>0</v>
      </c>
      <c r="AE8" s="36">
        <f t="shared" si="0"/>
        <v>0</v>
      </c>
      <c r="AF8" s="36">
        <f t="shared" si="0"/>
        <v>0</v>
      </c>
      <c r="AG8" s="36">
        <f t="shared" si="0"/>
        <v>0</v>
      </c>
      <c r="AH8" s="36">
        <f t="shared" si="0"/>
        <v>0</v>
      </c>
      <c r="AI8" s="36">
        <f t="shared" si="0"/>
        <v>0</v>
      </c>
      <c r="AJ8" s="36">
        <f t="shared" si="0"/>
        <v>0</v>
      </c>
      <c r="AK8" s="36">
        <f t="shared" si="0"/>
        <v>0</v>
      </c>
      <c r="AL8" s="36">
        <f t="shared" si="0"/>
        <v>0</v>
      </c>
      <c r="AM8" s="36">
        <f t="shared" si="0"/>
        <v>0</v>
      </c>
      <c r="AN8" s="36">
        <f t="shared" si="0"/>
        <v>0</v>
      </c>
      <c r="AO8" s="36">
        <f t="shared" si="0"/>
        <v>0</v>
      </c>
      <c r="AP8" s="36">
        <f t="shared" si="0"/>
        <v>0</v>
      </c>
      <c r="AQ8" s="36">
        <f t="shared" si="0"/>
        <v>0</v>
      </c>
      <c r="AR8" s="36">
        <f t="shared" si="0"/>
        <v>0</v>
      </c>
      <c r="AS8" s="36">
        <f t="shared" si="0"/>
        <v>0</v>
      </c>
      <c r="AT8" s="36">
        <f t="shared" si="0"/>
        <v>0</v>
      </c>
      <c r="AU8" s="36">
        <f t="shared" si="0"/>
        <v>0</v>
      </c>
      <c r="AV8" s="36">
        <f t="shared" si="0"/>
        <v>0</v>
      </c>
      <c r="AW8" s="36">
        <f t="shared" si="0"/>
        <v>0</v>
      </c>
    </row>
    <row r="9" spans="1:49" x14ac:dyDescent="0.2">
      <c r="A9" s="4" t="s">
        <v>216</v>
      </c>
      <c r="B9" s="2" t="s">
        <v>208</v>
      </c>
      <c r="C9" s="37">
        <f>+SUM(E9:AW9)</f>
        <v>9662400</v>
      </c>
      <c r="D9" s="2" t="s">
        <v>331</v>
      </c>
      <c r="E9" s="36">
        <f>+SUM($D$12:D12)*Inputs!$F$25*Timeline!E$6</f>
        <v>0</v>
      </c>
      <c r="F9" s="36">
        <f>+SUM($D$12:E12)*Inputs!$F$25*Timeline!F$6</f>
        <v>9662400</v>
      </c>
      <c r="G9" s="36">
        <f>+SUM($D$12:F12)*Inputs!$F$25*Timeline!G$6</f>
        <v>0</v>
      </c>
      <c r="H9" s="36">
        <f>+SUM($D$12:G12)*Inputs!$F$25*Timeline!H$6</f>
        <v>0</v>
      </c>
      <c r="I9" s="36">
        <f>+SUM($D$12:H12)*Inputs!$F$25*Timeline!I$6</f>
        <v>0</v>
      </c>
      <c r="J9" s="36">
        <f>+SUM($D$12:I12)*Inputs!$F$25*Timeline!J$6</f>
        <v>0</v>
      </c>
      <c r="K9" s="36">
        <f>+SUM($D$12:J12)*Inputs!$F$25*Timeline!K$6</f>
        <v>0</v>
      </c>
      <c r="L9" s="36">
        <f>+SUM($D$12:K12)*Inputs!$F$25*Timeline!L$6</f>
        <v>0</v>
      </c>
      <c r="M9" s="36">
        <f>+SUM($D$12:L12)*Inputs!$F$25*Timeline!M$6</f>
        <v>0</v>
      </c>
      <c r="N9" s="36">
        <f>+SUM($D$12:M12)*Inputs!$F$25*Timeline!N$6</f>
        <v>0</v>
      </c>
      <c r="O9" s="36">
        <f>+SUM($D$12:N12)*Inputs!$F$25*Timeline!O$6</f>
        <v>0</v>
      </c>
      <c r="P9" s="36">
        <f>+SUM($D$12:O12)*Inputs!$F$25*Timeline!P$6</f>
        <v>0</v>
      </c>
      <c r="Q9" s="36">
        <f>+SUM($D$12:P12)*Inputs!$F$25*Timeline!Q$6</f>
        <v>0</v>
      </c>
      <c r="R9" s="36">
        <f>+SUM($D$12:Q12)*Inputs!$F$25*Timeline!R$6</f>
        <v>0</v>
      </c>
      <c r="S9" s="36">
        <f>+SUM($D$12:R12)*Inputs!$F$25*Timeline!S$6</f>
        <v>0</v>
      </c>
      <c r="T9" s="36">
        <f>+SUM($D$12:S12)*Inputs!$F$25*Timeline!T$6</f>
        <v>0</v>
      </c>
      <c r="U9" s="36">
        <f>+SUM($D$12:T12)*Inputs!$F$25*Timeline!U$6</f>
        <v>0</v>
      </c>
      <c r="V9" s="36">
        <f>+SUM($D$12:U12)*Inputs!$F$25*Timeline!V$6</f>
        <v>0</v>
      </c>
      <c r="W9" s="36">
        <f>+SUM($D$12:V12)*Inputs!$F$25*Timeline!W$6</f>
        <v>0</v>
      </c>
      <c r="X9" s="36">
        <f>+SUM($D$12:W12)*Inputs!$F$25*Timeline!X$6</f>
        <v>0</v>
      </c>
      <c r="Y9" s="36">
        <f>+SUM($D$12:X12)*Inputs!$F$25*Timeline!Y$6</f>
        <v>0</v>
      </c>
      <c r="Z9" s="36">
        <f>+SUM($D$12:Y12)*Inputs!$F$25*Timeline!Z$6</f>
        <v>0</v>
      </c>
      <c r="AA9" s="36">
        <f>+SUM($D$12:Z12)*Inputs!$F$25*Timeline!AA$6</f>
        <v>0</v>
      </c>
      <c r="AB9" s="36">
        <f>+SUM($D$12:AA12)*Inputs!$F$25*Timeline!AB$6</f>
        <v>0</v>
      </c>
      <c r="AC9" s="36">
        <f>+SUM($D$12:AB12)*Inputs!$F$25*Timeline!AC$6</f>
        <v>0</v>
      </c>
      <c r="AD9" s="36">
        <f>+SUM($D$12:AC12)*Inputs!$F$25*Timeline!AD$6</f>
        <v>0</v>
      </c>
      <c r="AE9" s="36">
        <f>+SUM($D$12:AD12)*Inputs!$F$25*Timeline!AE$6</f>
        <v>0</v>
      </c>
      <c r="AF9" s="36">
        <f>+SUM($D$12:AE12)*Inputs!$F$25*Timeline!AF$6</f>
        <v>0</v>
      </c>
      <c r="AG9" s="36">
        <f>+SUM($D$12:AF12)*Inputs!$F$25*Timeline!AG$6</f>
        <v>0</v>
      </c>
      <c r="AH9" s="36">
        <f>+SUM($D$12:AG12)*Inputs!$F$25*Timeline!AH$6</f>
        <v>0</v>
      </c>
      <c r="AI9" s="36">
        <f>+SUM($D$12:AH12)*Inputs!$F$25*Timeline!AI$6</f>
        <v>0</v>
      </c>
      <c r="AJ9" s="36">
        <f>+SUM($D$12:AI12)*Inputs!$F$25*Timeline!AJ$6</f>
        <v>0</v>
      </c>
      <c r="AK9" s="36">
        <f>+SUM($D$12:AJ12)*Inputs!$F$25*Timeline!AK$6</f>
        <v>0</v>
      </c>
      <c r="AL9" s="36">
        <f>+SUM($D$12:AK12)*Inputs!$F$25*Timeline!AL$6</f>
        <v>0</v>
      </c>
      <c r="AM9" s="36">
        <f>+SUM($D$12:AL12)*Inputs!$F$25*Timeline!AM$6</f>
        <v>0</v>
      </c>
      <c r="AN9" s="36">
        <f>+SUM($D$12:AM12)*Inputs!$F$25*Timeline!AN$6</f>
        <v>0</v>
      </c>
      <c r="AO9" s="36">
        <f>+SUM($D$12:AN12)*Inputs!$F$25*Timeline!AO$6</f>
        <v>0</v>
      </c>
      <c r="AP9" s="36">
        <f>+SUM($D$12:AO12)*Inputs!$F$25*Timeline!AP$6</f>
        <v>0</v>
      </c>
      <c r="AQ9" s="36">
        <f>+SUM($D$12:AP12)*Inputs!$F$25*Timeline!AQ$6</f>
        <v>0</v>
      </c>
      <c r="AR9" s="36">
        <f>+SUM($D$12:AQ12)*Inputs!$F$25*Timeline!AR$6</f>
        <v>0</v>
      </c>
      <c r="AS9" s="36">
        <f>+SUM($D$12:AR12)*Inputs!$F$25*Timeline!AS$6</f>
        <v>0</v>
      </c>
      <c r="AT9" s="36">
        <f>+SUM($D$12:AS12)*Inputs!$F$25*Timeline!AT$6</f>
        <v>0</v>
      </c>
      <c r="AU9" s="36">
        <f>+SUM($D$12:AT12)*Inputs!$F$25*Timeline!AU$6</f>
        <v>0</v>
      </c>
      <c r="AV9" s="36">
        <f>+SUM($D$12:AU12)*Inputs!$F$25*Timeline!AV$6</f>
        <v>0</v>
      </c>
      <c r="AW9" s="36">
        <f>+SUM($D$12:AV12)*Inputs!$F$25*Timeline!AW$6</f>
        <v>0</v>
      </c>
    </row>
    <row r="10" spans="1:49" x14ac:dyDescent="0.2">
      <c r="A10" s="12" t="s">
        <v>217</v>
      </c>
      <c r="B10" s="13"/>
      <c r="C10" s="13"/>
      <c r="D10" s="13"/>
      <c r="E10" s="13"/>
      <c r="F10" s="13"/>
      <c r="G10" s="13"/>
      <c r="H10" s="13"/>
      <c r="I10" s="13"/>
      <c r="J10" s="13"/>
      <c r="K10" s="13"/>
      <c r="L10" s="13"/>
      <c r="M10" s="13"/>
      <c r="N10" s="13"/>
      <c r="O10" s="13"/>
      <c r="P10" s="13"/>
      <c r="Q10" s="13"/>
      <c r="R10" s="13"/>
      <c r="S10" s="13"/>
      <c r="T10" s="13"/>
      <c r="U10" s="13"/>
      <c r="V10" s="13"/>
      <c r="W10" s="13"/>
      <c r="X10" s="13"/>
      <c r="Y10" s="13"/>
      <c r="Z10" s="13"/>
      <c r="AA10" s="13"/>
      <c r="AB10" s="13"/>
      <c r="AC10" s="13"/>
      <c r="AD10" s="13"/>
      <c r="AE10" s="13"/>
      <c r="AF10" s="13"/>
      <c r="AG10" s="13"/>
      <c r="AH10" s="13"/>
      <c r="AI10" s="13"/>
      <c r="AJ10" s="13"/>
      <c r="AK10" s="13"/>
      <c r="AL10" s="13"/>
      <c r="AM10" s="13"/>
      <c r="AN10" s="13"/>
      <c r="AO10" s="13"/>
      <c r="AP10" s="13"/>
      <c r="AQ10" s="13"/>
      <c r="AR10" s="13"/>
      <c r="AS10" s="13"/>
      <c r="AT10" s="13"/>
      <c r="AU10" s="13"/>
      <c r="AV10" s="13"/>
      <c r="AW10" s="13"/>
    </row>
    <row r="11" spans="1:49" x14ac:dyDescent="0.2">
      <c r="A11" s="4" t="s">
        <v>218</v>
      </c>
      <c r="B11" s="2" t="s">
        <v>208</v>
      </c>
      <c r="D11" s="2" t="s">
        <v>219</v>
      </c>
      <c r="E11" s="36">
        <v>0</v>
      </c>
      <c r="F11" s="36">
        <f>+E16</f>
        <v>158400000</v>
      </c>
      <c r="G11" s="36">
        <f t="shared" ref="G11:AW11" si="1">+F16</f>
        <v>405662400</v>
      </c>
      <c r="H11" s="36">
        <f t="shared" si="1"/>
        <v>399392498.25655907</v>
      </c>
      <c r="I11" s="36">
        <f t="shared" si="1"/>
        <v>392740132.50676829</v>
      </c>
      <c r="J11" s="36">
        <f t="shared" si="1"/>
        <v>385681972.44624025</v>
      </c>
      <c r="K11" s="36">
        <f t="shared" si="1"/>
        <v>378193264.62202001</v>
      </c>
      <c r="L11" s="36">
        <f t="shared" si="1"/>
        <v>370247745.62052232</v>
      </c>
      <c r="M11" s="36">
        <f t="shared" si="1"/>
        <v>361817549.95993328</v>
      </c>
      <c r="N11" s="36">
        <f t="shared" si="1"/>
        <v>352873112.3640483</v>
      </c>
      <c r="O11" s="36">
        <f t="shared" si="1"/>
        <v>343383064.07481432</v>
      </c>
      <c r="P11" s="36">
        <f t="shared" si="1"/>
        <v>333314122.83993709</v>
      </c>
      <c r="Q11" s="36">
        <f t="shared" si="1"/>
        <v>322630976.18973231</v>
      </c>
      <c r="R11" s="36">
        <f t="shared" si="1"/>
        <v>311296157.5938651</v>
      </c>
      <c r="S11" s="36">
        <f t="shared" si="1"/>
        <v>299269915.06364995</v>
      </c>
      <c r="T11" s="36">
        <f t="shared" si="1"/>
        <v>286510071.73909169</v>
      </c>
      <c r="U11" s="36">
        <f t="shared" si="1"/>
        <v>272971877.97173536</v>
      </c>
      <c r="V11" s="36">
        <f t="shared" si="1"/>
        <v>258607854.3845703</v>
      </c>
      <c r="W11" s="36">
        <f t="shared" si="1"/>
        <v>243367625.35858819</v>
      </c>
      <c r="X11" s="36">
        <f t="shared" si="1"/>
        <v>227197742.36202115</v>
      </c>
      <c r="Y11" s="36">
        <f t="shared" si="1"/>
        <v>210041496.50266352</v>
      </c>
      <c r="Z11" s="36">
        <f t="shared" si="1"/>
        <v>191838719.64588508</v>
      </c>
      <c r="AA11" s="36">
        <f t="shared" si="1"/>
        <v>172525573.40084314</v>
      </c>
      <c r="AB11" s="36">
        <f t="shared" si="1"/>
        <v>152034325.23485366</v>
      </c>
      <c r="AC11" s="36">
        <f t="shared" si="1"/>
        <v>130293110.93073881</v>
      </c>
      <c r="AD11" s="36">
        <f t="shared" si="1"/>
        <v>107225682.55407296</v>
      </c>
      <c r="AE11" s="36">
        <f t="shared" si="1"/>
        <v>82751141.046430498</v>
      </c>
      <c r="AF11" s="36">
        <f t="shared" si="1"/>
        <v>56783652.506821841</v>
      </c>
      <c r="AG11" s="36">
        <f t="shared" si="1"/>
        <v>29232147.16629706</v>
      </c>
      <c r="AH11" s="36">
        <f t="shared" si="1"/>
        <v>2.6822090148925781E-7</v>
      </c>
      <c r="AI11" s="36">
        <f t="shared" si="1"/>
        <v>2.8458237648010252E-7</v>
      </c>
      <c r="AJ11" s="36">
        <f t="shared" si="1"/>
        <v>3.019419014453888E-7</v>
      </c>
      <c r="AK11" s="36">
        <f t="shared" si="1"/>
        <v>3.2036035743355754E-7</v>
      </c>
      <c r="AL11" s="36">
        <f t="shared" si="1"/>
        <v>3.2036035743355754E-7</v>
      </c>
      <c r="AM11" s="36">
        <f t="shared" si="1"/>
        <v>3.2036035743355754E-7</v>
      </c>
      <c r="AN11" s="36">
        <f t="shared" si="1"/>
        <v>3.2036035743355754E-7</v>
      </c>
      <c r="AO11" s="36">
        <f t="shared" si="1"/>
        <v>3.2036035743355754E-7</v>
      </c>
      <c r="AP11" s="36">
        <f t="shared" si="1"/>
        <v>3.2036035743355754E-7</v>
      </c>
      <c r="AQ11" s="36">
        <f t="shared" si="1"/>
        <v>3.2036035743355754E-7</v>
      </c>
      <c r="AR11" s="36">
        <f t="shared" si="1"/>
        <v>3.2036035743355754E-7</v>
      </c>
      <c r="AS11" s="36">
        <f t="shared" si="1"/>
        <v>3.2036035743355754E-7</v>
      </c>
      <c r="AT11" s="36">
        <f t="shared" si="1"/>
        <v>3.2036035743355754E-7</v>
      </c>
      <c r="AU11" s="36">
        <f t="shared" si="1"/>
        <v>3.2036035743355754E-7</v>
      </c>
      <c r="AV11" s="36">
        <f t="shared" si="1"/>
        <v>3.2036035743355754E-7</v>
      </c>
      <c r="AW11" s="36">
        <f t="shared" si="1"/>
        <v>3.2036035743355754E-7</v>
      </c>
    </row>
    <row r="12" spans="1:49" x14ac:dyDescent="0.2">
      <c r="A12" s="4" t="s">
        <v>220</v>
      </c>
      <c r="B12" s="2" t="s">
        <v>208</v>
      </c>
      <c r="D12" s="2" t="s">
        <v>221</v>
      </c>
      <c r="E12" s="36">
        <f>+E7+E9</f>
        <v>158400000</v>
      </c>
      <c r="F12" s="36">
        <f>+F7+F9</f>
        <v>247262400</v>
      </c>
      <c r="G12" s="36">
        <f>+G7+G9</f>
        <v>0</v>
      </c>
      <c r="H12" s="36">
        <f t="shared" ref="H12:AW12" si="2">+H7+H9</f>
        <v>0</v>
      </c>
      <c r="I12" s="36">
        <f t="shared" si="2"/>
        <v>0</v>
      </c>
      <c r="J12" s="36">
        <f t="shared" si="2"/>
        <v>0</v>
      </c>
      <c r="K12" s="36">
        <f t="shared" si="2"/>
        <v>0</v>
      </c>
      <c r="L12" s="36">
        <f t="shared" si="2"/>
        <v>0</v>
      </c>
      <c r="M12" s="36">
        <f t="shared" si="2"/>
        <v>0</v>
      </c>
      <c r="N12" s="36">
        <f t="shared" si="2"/>
        <v>0</v>
      </c>
      <c r="O12" s="36">
        <f t="shared" si="2"/>
        <v>0</v>
      </c>
      <c r="P12" s="36">
        <f t="shared" si="2"/>
        <v>0</v>
      </c>
      <c r="Q12" s="36">
        <f t="shared" si="2"/>
        <v>0</v>
      </c>
      <c r="R12" s="36">
        <f t="shared" si="2"/>
        <v>0</v>
      </c>
      <c r="S12" s="36">
        <f t="shared" si="2"/>
        <v>0</v>
      </c>
      <c r="T12" s="36">
        <f t="shared" si="2"/>
        <v>0</v>
      </c>
      <c r="U12" s="36">
        <f t="shared" si="2"/>
        <v>0</v>
      </c>
      <c r="V12" s="36">
        <f t="shared" si="2"/>
        <v>0</v>
      </c>
      <c r="W12" s="36">
        <f t="shared" si="2"/>
        <v>0</v>
      </c>
      <c r="X12" s="36">
        <f t="shared" si="2"/>
        <v>0</v>
      </c>
      <c r="Y12" s="36">
        <f t="shared" si="2"/>
        <v>0</v>
      </c>
      <c r="Z12" s="36">
        <f t="shared" si="2"/>
        <v>0</v>
      </c>
      <c r="AA12" s="36">
        <f t="shared" si="2"/>
        <v>0</v>
      </c>
      <c r="AB12" s="36">
        <f t="shared" si="2"/>
        <v>0</v>
      </c>
      <c r="AC12" s="36">
        <f t="shared" si="2"/>
        <v>0</v>
      </c>
      <c r="AD12" s="36">
        <f t="shared" si="2"/>
        <v>0</v>
      </c>
      <c r="AE12" s="36">
        <f t="shared" si="2"/>
        <v>0</v>
      </c>
      <c r="AF12" s="36">
        <f t="shared" si="2"/>
        <v>0</v>
      </c>
      <c r="AG12" s="36">
        <f t="shared" si="2"/>
        <v>0</v>
      </c>
      <c r="AH12" s="36">
        <f t="shared" si="2"/>
        <v>0</v>
      </c>
      <c r="AI12" s="36">
        <f t="shared" si="2"/>
        <v>0</v>
      </c>
      <c r="AJ12" s="36">
        <f t="shared" si="2"/>
        <v>0</v>
      </c>
      <c r="AK12" s="36">
        <f t="shared" si="2"/>
        <v>0</v>
      </c>
      <c r="AL12" s="36">
        <f t="shared" si="2"/>
        <v>0</v>
      </c>
      <c r="AM12" s="36">
        <f t="shared" si="2"/>
        <v>0</v>
      </c>
      <c r="AN12" s="36">
        <f t="shared" si="2"/>
        <v>0</v>
      </c>
      <c r="AO12" s="36">
        <f t="shared" si="2"/>
        <v>0</v>
      </c>
      <c r="AP12" s="36">
        <f t="shared" si="2"/>
        <v>0</v>
      </c>
      <c r="AQ12" s="36">
        <f t="shared" si="2"/>
        <v>0</v>
      </c>
      <c r="AR12" s="36">
        <f t="shared" si="2"/>
        <v>0</v>
      </c>
      <c r="AS12" s="36">
        <f t="shared" si="2"/>
        <v>0</v>
      </c>
      <c r="AT12" s="36">
        <f t="shared" si="2"/>
        <v>0</v>
      </c>
      <c r="AU12" s="36">
        <f t="shared" si="2"/>
        <v>0</v>
      </c>
      <c r="AV12" s="36">
        <f t="shared" si="2"/>
        <v>0</v>
      </c>
      <c r="AW12" s="36">
        <f t="shared" si="2"/>
        <v>0</v>
      </c>
    </row>
    <row r="13" spans="1:49" x14ac:dyDescent="0.2">
      <c r="A13" s="4" t="s">
        <v>222</v>
      </c>
      <c r="B13" s="2" t="s">
        <v>208</v>
      </c>
      <c r="C13" s="37">
        <f>+PMT(Inputs!$F$25, Inputs!$F$24, -SUM(Debt!$E$12:$AW$12))</f>
        <v>31015308.143440913</v>
      </c>
      <c r="D13" s="2" t="s">
        <v>346</v>
      </c>
      <c r="E13" s="36">
        <f>+IF(Timeline!E$10=1,Debt!$C$13*Timeline!E$10,0)</f>
        <v>0</v>
      </c>
      <c r="F13" s="36">
        <f>+IF(Timeline!F$10=1,Debt!$C$13*Timeline!F$10,0)</f>
        <v>0</v>
      </c>
      <c r="G13" s="36">
        <f>+IF(Timeline!G$10=1,Debt!$C$13*Timeline!G$10,0)</f>
        <v>31015308.143440913</v>
      </c>
      <c r="H13" s="36">
        <f>+IF(Timeline!H$10=1,Debt!$C$13*Timeline!H$10,0)</f>
        <v>31015308.143440913</v>
      </c>
      <c r="I13" s="36">
        <f>+IF(Timeline!I$10=1,Debt!$C$13*Timeline!I$10,0)</f>
        <v>31015308.143440913</v>
      </c>
      <c r="J13" s="36">
        <f>+IF(Timeline!J$10=1,Debt!$C$13*Timeline!J$10,0)</f>
        <v>31015308.143440913</v>
      </c>
      <c r="K13" s="36">
        <f>+IF(Timeline!K$10=1,Debt!$C$13*Timeline!K$10,0)</f>
        <v>31015308.143440913</v>
      </c>
      <c r="L13" s="36">
        <f>+IF(Timeline!L$10=1,Debt!$C$13*Timeline!L$10,0)</f>
        <v>31015308.143440913</v>
      </c>
      <c r="M13" s="36">
        <f>+IF(Timeline!M$10=1,Debt!$C$13*Timeline!M$10,0)</f>
        <v>31015308.143440913</v>
      </c>
      <c r="N13" s="36">
        <f>+IF(Timeline!N$10=1,Debt!$C$13*Timeline!N$10,0)</f>
        <v>31015308.143440913</v>
      </c>
      <c r="O13" s="36">
        <f>+IF(Timeline!O$10=1,Debt!$C$13*Timeline!O$10,0)</f>
        <v>31015308.143440913</v>
      </c>
      <c r="P13" s="36">
        <f>+IF(Timeline!P$10=1,Debt!$C$13*Timeline!P$10,0)</f>
        <v>31015308.143440913</v>
      </c>
      <c r="Q13" s="36">
        <f>+IF(Timeline!Q$10=1,Debt!$C$13*Timeline!Q$10,0)</f>
        <v>31015308.143440913</v>
      </c>
      <c r="R13" s="36">
        <f>+IF(Timeline!R$10=1,Debt!$C$13*Timeline!R$10,0)</f>
        <v>31015308.143440913</v>
      </c>
      <c r="S13" s="36">
        <f>+IF(Timeline!S$10=1,Debt!$C$13*Timeline!S$10,0)</f>
        <v>31015308.143440913</v>
      </c>
      <c r="T13" s="36">
        <f>+IF(Timeline!T$10=1,Debt!$C$13*Timeline!T$10,0)</f>
        <v>31015308.143440913</v>
      </c>
      <c r="U13" s="36">
        <f>+IF(Timeline!U$10=1,Debt!$C$13*Timeline!U$10,0)</f>
        <v>31015308.143440913</v>
      </c>
      <c r="V13" s="36">
        <f>+IF(Timeline!V$10=1,Debt!$C$13*Timeline!V$10,0)</f>
        <v>31015308.143440913</v>
      </c>
      <c r="W13" s="36">
        <f>+IF(Timeline!W$10=1,Debt!$C$13*Timeline!W$10,0)</f>
        <v>31015308.143440913</v>
      </c>
      <c r="X13" s="36">
        <f>+IF(Timeline!X$10=1,Debt!$C$13*Timeline!X$10,0)</f>
        <v>31015308.143440913</v>
      </c>
      <c r="Y13" s="36">
        <f>+IF(Timeline!Y$10=1,Debt!$C$13*Timeline!Y$10,0)</f>
        <v>31015308.143440913</v>
      </c>
      <c r="Z13" s="36">
        <f>+IF(Timeline!Z$10=1,Debt!$C$13*Timeline!Z$10,0)</f>
        <v>31015308.143440913</v>
      </c>
      <c r="AA13" s="36">
        <f>+IF(Timeline!AA$10=1,Debt!$C$13*Timeline!AA$10,0)</f>
        <v>31015308.143440913</v>
      </c>
      <c r="AB13" s="36">
        <f>+IF(Timeline!AB$10=1,Debt!$C$13*Timeline!AB$10,0)</f>
        <v>31015308.143440913</v>
      </c>
      <c r="AC13" s="36">
        <f>+IF(Timeline!AC$10=1,Debt!$C$13*Timeline!AC$10,0)</f>
        <v>31015308.143440913</v>
      </c>
      <c r="AD13" s="36">
        <f>+IF(Timeline!AD$10=1,Debt!$C$13*Timeline!AD$10,0)</f>
        <v>31015308.143440913</v>
      </c>
      <c r="AE13" s="36">
        <f>+IF(Timeline!AE$10=1,Debt!$C$13*Timeline!AE$10,0)</f>
        <v>31015308.143440913</v>
      </c>
      <c r="AF13" s="36">
        <f>+IF(Timeline!AF$10=1,Debt!$C$13*Timeline!AF$10,0)</f>
        <v>31015308.143440913</v>
      </c>
      <c r="AG13" s="36">
        <f>+IF(Timeline!AG$10=1,Debt!$C$13*Timeline!AG$10,0)</f>
        <v>31015308.143440913</v>
      </c>
      <c r="AH13" s="36">
        <f>+IF(Timeline!AH$10=1,Debt!$C$13*Timeline!AH$10,0)</f>
        <v>0</v>
      </c>
      <c r="AI13" s="36">
        <f>+IF(Timeline!AI$10=1,Debt!$C$13*Timeline!AI$10,0)</f>
        <v>0</v>
      </c>
      <c r="AJ13" s="36">
        <f>+IF(Timeline!AJ$10=1,Debt!$C$13*Timeline!AJ$10,0)</f>
        <v>0</v>
      </c>
      <c r="AK13" s="36">
        <f>+IF(Timeline!AK$10=1,Debt!$C$13*Timeline!AK$10,0)</f>
        <v>0</v>
      </c>
      <c r="AL13" s="36">
        <f>+IF(Timeline!AL$10=1,Debt!$C$13*Timeline!AL$10,0)</f>
        <v>0</v>
      </c>
      <c r="AM13" s="36">
        <f>+IF(Timeline!AM$10=1,Debt!$C$13*Timeline!AM$10,0)</f>
        <v>0</v>
      </c>
      <c r="AN13" s="36">
        <f>+IF(Timeline!AN$10=1,Debt!$C$13*Timeline!AN$10,0)</f>
        <v>0</v>
      </c>
      <c r="AO13" s="36">
        <f>+IF(Timeline!AO$10=1,Debt!$C$13*Timeline!AO$10,0)</f>
        <v>0</v>
      </c>
      <c r="AP13" s="36">
        <f>+IF(Timeline!AP$10=1,Debt!$C$13*Timeline!AP$10,0)</f>
        <v>0</v>
      </c>
      <c r="AQ13" s="36">
        <f>+IF(Timeline!AQ$10=1,Debt!$C$13*Timeline!AQ$10,0)</f>
        <v>0</v>
      </c>
      <c r="AR13" s="36">
        <f>+IF(Timeline!AR$10=1,Debt!$C$13*Timeline!AR$10,0)</f>
        <v>0</v>
      </c>
      <c r="AS13" s="36">
        <f>+IF(Timeline!AS$10=1,Debt!$C$13*Timeline!AS$10,0)</f>
        <v>0</v>
      </c>
      <c r="AT13" s="36">
        <f>+IF(Timeline!AT$10=1,Debt!$C$13*Timeline!AT$10,0)</f>
        <v>0</v>
      </c>
      <c r="AU13" s="36">
        <f>+IF(Timeline!AU$10=1,Debt!$C$13*Timeline!AU$10,0)</f>
        <v>0</v>
      </c>
      <c r="AV13" s="36">
        <f>+IF(Timeline!AV$10=1,Debt!$C$13*Timeline!AV$10,0)</f>
        <v>0</v>
      </c>
      <c r="AW13" s="36">
        <f>+IF(Timeline!AW$10=1,Debt!$C$13*Timeline!AW$10,0)</f>
        <v>0</v>
      </c>
    </row>
    <row r="14" spans="1:49" x14ac:dyDescent="0.2">
      <c r="A14" s="4" t="s">
        <v>223</v>
      </c>
      <c r="B14" s="2" t="s">
        <v>208</v>
      </c>
      <c r="C14" s="53"/>
      <c r="D14" s="2" t="s">
        <v>347</v>
      </c>
      <c r="E14" s="36">
        <f>+E11*Inputs!$F$25*Timeline!E$8</f>
        <v>0</v>
      </c>
      <c r="F14" s="36">
        <f>+F11*Inputs!$F$25*Timeline!F$8</f>
        <v>0</v>
      </c>
      <c r="G14" s="36">
        <f>+G11*Inputs!$F$25*Timeline!G$8</f>
        <v>24745406.399999999</v>
      </c>
      <c r="H14" s="36">
        <f>+H11*Inputs!$F$25*Timeline!H$8</f>
        <v>24362942.393650103</v>
      </c>
      <c r="I14" s="36">
        <f>+I11*Inputs!$F$25*Timeline!I$8</f>
        <v>23957148.082912866</v>
      </c>
      <c r="J14" s="36">
        <f>+J11*Inputs!$F$25*Timeline!J$8</f>
        <v>23526600.319220655</v>
      </c>
      <c r="K14" s="36">
        <f>+K11*Inputs!$F$25*Timeline!K$8</f>
        <v>23069789.14194322</v>
      </c>
      <c r="L14" s="36">
        <f>+L11*Inputs!$F$25*Timeline!L$8</f>
        <v>22585112.482851859</v>
      </c>
      <c r="M14" s="36">
        <f>+M11*Inputs!$F$25*Timeline!M$8</f>
        <v>22070870.547555931</v>
      </c>
      <c r="N14" s="36">
        <f>+N11*Inputs!$F$25*Timeline!N$8</f>
        <v>21525259.854206946</v>
      </c>
      <c r="O14" s="36">
        <f>+O11*Inputs!$F$25*Timeline!O$8</f>
        <v>20946366.908563673</v>
      </c>
      <c r="P14" s="36">
        <f>+P11*Inputs!$F$25*Timeline!P$8</f>
        <v>20332161.493236162</v>
      </c>
      <c r="Q14" s="36">
        <f>+Q11*Inputs!$F$25*Timeline!Q$8</f>
        <v>19680489.547573671</v>
      </c>
      <c r="R14" s="36">
        <f>+R11*Inputs!$F$25*Timeline!R$8</f>
        <v>18989065.613225769</v>
      </c>
      <c r="S14" s="36">
        <f>+S11*Inputs!$F$25*Timeline!S$8</f>
        <v>18255464.818882648</v>
      </c>
      <c r="T14" s="36">
        <f>+T11*Inputs!$F$25*Timeline!T$8</f>
        <v>17477114.376084592</v>
      </c>
      <c r="U14" s="36">
        <f>+U11*Inputs!$F$25*Timeline!U$8</f>
        <v>16651284.556275856</v>
      </c>
      <c r="V14" s="36">
        <f>+V11*Inputs!$F$25*Timeline!V$8</f>
        <v>15775079.117458789</v>
      </c>
      <c r="W14" s="36">
        <f>+W11*Inputs!$F$25*Timeline!W$8</f>
        <v>14845425.146873878</v>
      </c>
      <c r="X14" s="36">
        <f>+X11*Inputs!$F$25*Timeline!X$8</f>
        <v>13859062.28408329</v>
      </c>
      <c r="Y14" s="36">
        <f>+Y11*Inputs!$F$25*Timeline!Y$8</f>
        <v>12812531.286662474</v>
      </c>
      <c r="Z14" s="36">
        <f>+Z11*Inputs!$F$25*Timeline!Z$8</f>
        <v>11702161.89839899</v>
      </c>
      <c r="AA14" s="36">
        <f>+AA11*Inputs!$F$25*Timeline!AA$8</f>
        <v>10524059.977451431</v>
      </c>
      <c r="AB14" s="36">
        <f>+AB11*Inputs!$F$25*Timeline!AB$8</f>
        <v>9274093.8393260725</v>
      </c>
      <c r="AC14" s="36">
        <f>+AC11*Inputs!$F$25*Timeline!AC$8</f>
        <v>7947879.766775067</v>
      </c>
      <c r="AD14" s="36">
        <f>+AD11*Inputs!$F$25*Timeline!AD$8</f>
        <v>6540766.6357984506</v>
      </c>
      <c r="AE14" s="36">
        <f>+AE11*Inputs!$F$25*Timeline!AE$8</f>
        <v>5047819.6038322607</v>
      </c>
      <c r="AF14" s="36">
        <f>+AF11*Inputs!$F$25*Timeline!AF$8</f>
        <v>3463802.8029161324</v>
      </c>
      <c r="AG14" s="36">
        <f>+AG11*Inputs!$F$25*Timeline!AG$8</f>
        <v>1783160.9771441205</v>
      </c>
      <c r="AH14" s="36">
        <f>+AH11*Inputs!$F$25*Timeline!AH$8</f>
        <v>1.6361474990844725E-8</v>
      </c>
      <c r="AI14" s="36">
        <f>+AI11*Inputs!$F$25*Timeline!AI$8</f>
        <v>1.7359524965286253E-8</v>
      </c>
      <c r="AJ14" s="36">
        <f>+AJ11*Inputs!$F$25*Timeline!AJ$8</f>
        <v>1.8418455988168716E-8</v>
      </c>
      <c r="AK14" s="36">
        <f>+AK11*Inputs!$F$25*Timeline!AK$8</f>
        <v>0</v>
      </c>
      <c r="AL14" s="36">
        <f>+AL11*Inputs!$F$25*Timeline!AL$8</f>
        <v>0</v>
      </c>
      <c r="AM14" s="36">
        <f>+AM11*Inputs!$F$25*Timeline!AM$8</f>
        <v>0</v>
      </c>
      <c r="AN14" s="36">
        <f>+AN11*Inputs!$F$25*Timeline!AN$8</f>
        <v>0</v>
      </c>
      <c r="AO14" s="36">
        <f>+AO11*Inputs!$F$25*Timeline!AO$8</f>
        <v>0</v>
      </c>
      <c r="AP14" s="36">
        <f>+AP11*Inputs!$F$25*Timeline!AP$8</f>
        <v>0</v>
      </c>
      <c r="AQ14" s="36">
        <f>+AQ11*Inputs!$F$25*Timeline!AQ$8</f>
        <v>0</v>
      </c>
      <c r="AR14" s="36">
        <f>+AR11*Inputs!$F$25*Timeline!AR$8</f>
        <v>0</v>
      </c>
      <c r="AS14" s="36">
        <f>+AS11*Inputs!$F$25*Timeline!AS$8</f>
        <v>0</v>
      </c>
      <c r="AT14" s="36">
        <f>+AT11*Inputs!$F$25*Timeline!AT$8</f>
        <v>0</v>
      </c>
      <c r="AU14" s="36">
        <f>+AU11*Inputs!$F$25*Timeline!AU$8</f>
        <v>0</v>
      </c>
      <c r="AV14" s="36">
        <f>+AV11*Inputs!$F$25*Timeline!AV$8</f>
        <v>0</v>
      </c>
      <c r="AW14" s="36">
        <f>+AW11*Inputs!$F$25*Timeline!AW$8</f>
        <v>0</v>
      </c>
    </row>
    <row r="15" spans="1:49" x14ac:dyDescent="0.2">
      <c r="A15" s="4" t="s">
        <v>224</v>
      </c>
      <c r="B15" s="2" t="s">
        <v>208</v>
      </c>
      <c r="C15" s="53"/>
      <c r="D15" s="2" t="s">
        <v>348</v>
      </c>
      <c r="E15" s="36">
        <f>+E13-E14</f>
        <v>0</v>
      </c>
      <c r="F15" s="36">
        <f t="shared" ref="F15:AW15" si="3">+F13-F14</f>
        <v>0</v>
      </c>
      <c r="G15" s="36">
        <f t="shared" si="3"/>
        <v>6269901.7434409149</v>
      </c>
      <c r="H15" s="36">
        <f t="shared" si="3"/>
        <v>6652365.74979081</v>
      </c>
      <c r="I15" s="36">
        <f t="shared" si="3"/>
        <v>7058160.0605280474</v>
      </c>
      <c r="J15" s="36">
        <f t="shared" si="3"/>
        <v>7488707.8242202587</v>
      </c>
      <c r="K15" s="36">
        <f t="shared" si="3"/>
        <v>7945519.0014976934</v>
      </c>
      <c r="L15" s="36">
        <f t="shared" si="3"/>
        <v>8430195.6605890542</v>
      </c>
      <c r="M15" s="36">
        <f t="shared" si="3"/>
        <v>8944437.5958849825</v>
      </c>
      <c r="N15" s="36">
        <f t="shared" si="3"/>
        <v>9490048.2892339677</v>
      </c>
      <c r="O15" s="36">
        <f t="shared" si="3"/>
        <v>10068941.23487724</v>
      </c>
      <c r="P15" s="36">
        <f t="shared" si="3"/>
        <v>10683146.650204752</v>
      </c>
      <c r="Q15" s="36">
        <f t="shared" si="3"/>
        <v>11334818.595867243</v>
      </c>
      <c r="R15" s="36">
        <f t="shared" si="3"/>
        <v>12026242.530215144</v>
      </c>
      <c r="S15" s="36">
        <f t="shared" si="3"/>
        <v>12759843.324558266</v>
      </c>
      <c r="T15" s="36">
        <f t="shared" si="3"/>
        <v>13538193.767356321</v>
      </c>
      <c r="U15" s="36">
        <f t="shared" si="3"/>
        <v>14364023.587165058</v>
      </c>
      <c r="V15" s="36">
        <f t="shared" si="3"/>
        <v>15240229.025982125</v>
      </c>
      <c r="W15" s="36">
        <f t="shared" si="3"/>
        <v>16169882.996567035</v>
      </c>
      <c r="X15" s="36">
        <f t="shared" si="3"/>
        <v>17156245.859357625</v>
      </c>
      <c r="Y15" s="36">
        <f t="shared" si="3"/>
        <v>18202776.856778439</v>
      </c>
      <c r="Z15" s="36">
        <f t="shared" si="3"/>
        <v>19313146.245041922</v>
      </c>
      <c r="AA15" s="36">
        <f t="shared" si="3"/>
        <v>20491248.165989481</v>
      </c>
      <c r="AB15" s="36">
        <f t="shared" si="3"/>
        <v>21741214.304114841</v>
      </c>
      <c r="AC15" s="36">
        <f t="shared" si="3"/>
        <v>23067428.376665846</v>
      </c>
      <c r="AD15" s="36">
        <f t="shared" si="3"/>
        <v>24474541.507642463</v>
      </c>
      <c r="AE15" s="36">
        <f t="shared" si="3"/>
        <v>25967488.539608654</v>
      </c>
      <c r="AF15" s="36">
        <f t="shared" si="3"/>
        <v>27551505.340524781</v>
      </c>
      <c r="AG15" s="36">
        <f t="shared" si="3"/>
        <v>29232147.166296791</v>
      </c>
      <c r="AH15" s="36">
        <f t="shared" si="3"/>
        <v>-1.6361474990844725E-8</v>
      </c>
      <c r="AI15" s="36">
        <f t="shared" si="3"/>
        <v>-1.7359524965286253E-8</v>
      </c>
      <c r="AJ15" s="36">
        <f t="shared" si="3"/>
        <v>-1.8418455988168716E-8</v>
      </c>
      <c r="AK15" s="36">
        <f t="shared" si="3"/>
        <v>0</v>
      </c>
      <c r="AL15" s="36">
        <f t="shared" si="3"/>
        <v>0</v>
      </c>
      <c r="AM15" s="36">
        <f t="shared" si="3"/>
        <v>0</v>
      </c>
      <c r="AN15" s="36">
        <f t="shared" si="3"/>
        <v>0</v>
      </c>
      <c r="AO15" s="36">
        <f t="shared" si="3"/>
        <v>0</v>
      </c>
      <c r="AP15" s="36">
        <f t="shared" si="3"/>
        <v>0</v>
      </c>
      <c r="AQ15" s="36">
        <f t="shared" si="3"/>
        <v>0</v>
      </c>
      <c r="AR15" s="36">
        <f t="shared" si="3"/>
        <v>0</v>
      </c>
      <c r="AS15" s="36">
        <f t="shared" si="3"/>
        <v>0</v>
      </c>
      <c r="AT15" s="36">
        <f t="shared" si="3"/>
        <v>0</v>
      </c>
      <c r="AU15" s="36">
        <f t="shared" si="3"/>
        <v>0</v>
      </c>
      <c r="AV15" s="36">
        <f t="shared" si="3"/>
        <v>0</v>
      </c>
      <c r="AW15" s="36">
        <f t="shared" si="3"/>
        <v>0</v>
      </c>
    </row>
    <row r="16" spans="1:49" x14ac:dyDescent="0.2">
      <c r="A16" s="4" t="s">
        <v>225</v>
      </c>
      <c r="B16" s="2" t="s">
        <v>208</v>
      </c>
      <c r="D16" s="2" t="s">
        <v>226</v>
      </c>
      <c r="E16" s="36">
        <f>+E$11+E$12-E$15</f>
        <v>158400000</v>
      </c>
      <c r="F16" s="36">
        <f t="shared" ref="F16:AW16" si="4">+F$11+F$12-F$15</f>
        <v>405662400</v>
      </c>
      <c r="G16" s="36">
        <f t="shared" si="4"/>
        <v>399392498.25655907</v>
      </c>
      <c r="H16" s="36">
        <f t="shared" si="4"/>
        <v>392740132.50676829</v>
      </c>
      <c r="I16" s="36">
        <f t="shared" si="4"/>
        <v>385681972.44624025</v>
      </c>
      <c r="J16" s="36">
        <f t="shared" si="4"/>
        <v>378193264.62202001</v>
      </c>
      <c r="K16" s="36">
        <f t="shared" si="4"/>
        <v>370247745.62052232</v>
      </c>
      <c r="L16" s="36">
        <f t="shared" si="4"/>
        <v>361817549.95993328</v>
      </c>
      <c r="M16" s="36">
        <f t="shared" si="4"/>
        <v>352873112.3640483</v>
      </c>
      <c r="N16" s="36">
        <f t="shared" si="4"/>
        <v>343383064.07481432</v>
      </c>
      <c r="O16" s="36">
        <f t="shared" si="4"/>
        <v>333314122.83993709</v>
      </c>
      <c r="P16" s="36">
        <f t="shared" si="4"/>
        <v>322630976.18973231</v>
      </c>
      <c r="Q16" s="36">
        <f t="shared" si="4"/>
        <v>311296157.5938651</v>
      </c>
      <c r="R16" s="36">
        <f t="shared" si="4"/>
        <v>299269915.06364995</v>
      </c>
      <c r="S16" s="36">
        <f t="shared" si="4"/>
        <v>286510071.73909169</v>
      </c>
      <c r="T16" s="36">
        <f t="shared" si="4"/>
        <v>272971877.97173536</v>
      </c>
      <c r="U16" s="36">
        <f t="shared" si="4"/>
        <v>258607854.3845703</v>
      </c>
      <c r="V16" s="36">
        <f t="shared" si="4"/>
        <v>243367625.35858819</v>
      </c>
      <c r="W16" s="36">
        <f t="shared" si="4"/>
        <v>227197742.36202115</v>
      </c>
      <c r="X16" s="36">
        <f t="shared" si="4"/>
        <v>210041496.50266352</v>
      </c>
      <c r="Y16" s="36">
        <f t="shared" si="4"/>
        <v>191838719.64588508</v>
      </c>
      <c r="Z16" s="36">
        <f t="shared" si="4"/>
        <v>172525573.40084314</v>
      </c>
      <c r="AA16" s="36">
        <f t="shared" si="4"/>
        <v>152034325.23485366</v>
      </c>
      <c r="AB16" s="36">
        <f t="shared" si="4"/>
        <v>130293110.93073881</v>
      </c>
      <c r="AC16" s="36">
        <f t="shared" si="4"/>
        <v>107225682.55407296</v>
      </c>
      <c r="AD16" s="36">
        <f t="shared" si="4"/>
        <v>82751141.046430498</v>
      </c>
      <c r="AE16" s="36">
        <f t="shared" si="4"/>
        <v>56783652.506821841</v>
      </c>
      <c r="AF16" s="36">
        <f t="shared" si="4"/>
        <v>29232147.16629706</v>
      </c>
      <c r="AG16" s="36">
        <f t="shared" si="4"/>
        <v>2.6822090148925781E-7</v>
      </c>
      <c r="AH16" s="36">
        <f t="shared" si="4"/>
        <v>2.8458237648010252E-7</v>
      </c>
      <c r="AI16" s="36">
        <f t="shared" si="4"/>
        <v>3.019419014453888E-7</v>
      </c>
      <c r="AJ16" s="36">
        <f t="shared" si="4"/>
        <v>3.2036035743355754E-7</v>
      </c>
      <c r="AK16" s="36">
        <f t="shared" si="4"/>
        <v>3.2036035743355754E-7</v>
      </c>
      <c r="AL16" s="36">
        <f t="shared" si="4"/>
        <v>3.2036035743355754E-7</v>
      </c>
      <c r="AM16" s="36">
        <f t="shared" si="4"/>
        <v>3.2036035743355754E-7</v>
      </c>
      <c r="AN16" s="36">
        <f t="shared" si="4"/>
        <v>3.2036035743355754E-7</v>
      </c>
      <c r="AO16" s="36">
        <f t="shared" si="4"/>
        <v>3.2036035743355754E-7</v>
      </c>
      <c r="AP16" s="36">
        <f t="shared" si="4"/>
        <v>3.2036035743355754E-7</v>
      </c>
      <c r="AQ16" s="36">
        <f t="shared" si="4"/>
        <v>3.2036035743355754E-7</v>
      </c>
      <c r="AR16" s="36">
        <f t="shared" si="4"/>
        <v>3.2036035743355754E-7</v>
      </c>
      <c r="AS16" s="36">
        <f t="shared" si="4"/>
        <v>3.2036035743355754E-7</v>
      </c>
      <c r="AT16" s="36">
        <f t="shared" si="4"/>
        <v>3.2036035743355754E-7</v>
      </c>
      <c r="AU16" s="36">
        <f t="shared" si="4"/>
        <v>3.2036035743355754E-7</v>
      </c>
      <c r="AV16" s="36">
        <f t="shared" si="4"/>
        <v>3.2036035743355754E-7</v>
      </c>
      <c r="AW16" s="36">
        <f t="shared" si="4"/>
        <v>3.2036035743355754E-7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W17"/>
  <sheetViews>
    <sheetView showGridLines="0" zoomScale="80" zoomScaleNormal="80" workbookViewId="0">
      <pane xSplit="4" ySplit="4" topLeftCell="AC5" activePane="bottomRight" state="frozen"/>
      <selection pane="topRight"/>
      <selection pane="bottomLeft"/>
      <selection pane="bottomRight"/>
    </sheetView>
  </sheetViews>
  <sheetFormatPr baseColWidth="10" defaultColWidth="8.83203125" defaultRowHeight="15" x14ac:dyDescent="0.2"/>
  <cols>
    <col min="1" max="1" width="38" customWidth="1"/>
    <col min="2" max="2" width="12" customWidth="1"/>
    <col min="3" max="3" width="15" customWidth="1"/>
    <col min="4" max="4" width="30" customWidth="1"/>
    <col min="5" max="49" width="11" customWidth="1"/>
  </cols>
  <sheetData>
    <row r="1" spans="1:49" ht="18" x14ac:dyDescent="0.2">
      <c r="A1" s="1" t="s">
        <v>99</v>
      </c>
    </row>
    <row r="2" spans="1:49" x14ac:dyDescent="0.2">
      <c r="A2" s="2" t="s">
        <v>354</v>
      </c>
    </row>
    <row r="4" spans="1:49" x14ac:dyDescent="0.2">
      <c r="A4" s="11" t="s">
        <v>143</v>
      </c>
      <c r="B4" s="11" t="s">
        <v>31</v>
      </c>
      <c r="C4" s="11" t="s">
        <v>144</v>
      </c>
      <c r="D4" s="11" t="s">
        <v>145</v>
      </c>
      <c r="E4" s="11" t="s">
        <v>0</v>
      </c>
      <c r="F4" s="11" t="s">
        <v>1</v>
      </c>
      <c r="G4" s="11" t="s">
        <v>2</v>
      </c>
      <c r="H4" s="11" t="s">
        <v>3</v>
      </c>
      <c r="I4" s="11" t="s">
        <v>146</v>
      </c>
      <c r="J4" s="11" t="s">
        <v>147</v>
      </c>
      <c r="K4" s="11" t="s">
        <v>148</v>
      </c>
      <c r="L4" s="11" t="s">
        <v>149</v>
      </c>
      <c r="M4" s="11" t="s">
        <v>150</v>
      </c>
      <c r="N4" s="11" t="s">
        <v>151</v>
      </c>
      <c r="O4" s="11" t="s">
        <v>152</v>
      </c>
      <c r="P4" s="11" t="s">
        <v>153</v>
      </c>
      <c r="Q4" s="11" t="s">
        <v>154</v>
      </c>
      <c r="R4" s="11" t="s">
        <v>155</v>
      </c>
      <c r="S4" s="11" t="s">
        <v>156</v>
      </c>
      <c r="T4" s="11" t="s">
        <v>157</v>
      </c>
      <c r="U4" s="11" t="s">
        <v>158</v>
      </c>
      <c r="V4" s="11" t="s">
        <v>159</v>
      </c>
      <c r="W4" s="11" t="s">
        <v>160</v>
      </c>
      <c r="X4" s="11" t="s">
        <v>161</v>
      </c>
      <c r="Y4" s="11" t="s">
        <v>162</v>
      </c>
      <c r="Z4" s="11" t="s">
        <v>163</v>
      </c>
      <c r="AA4" s="11" t="s">
        <v>164</v>
      </c>
      <c r="AB4" s="11" t="s">
        <v>165</v>
      </c>
      <c r="AC4" s="11" t="s">
        <v>166</v>
      </c>
      <c r="AD4" s="11" t="s">
        <v>167</v>
      </c>
      <c r="AE4" s="11" t="s">
        <v>168</v>
      </c>
      <c r="AF4" s="11" t="s">
        <v>169</v>
      </c>
      <c r="AG4" s="11" t="s">
        <v>170</v>
      </c>
      <c r="AH4" s="11" t="s">
        <v>171</v>
      </c>
      <c r="AI4" s="11" t="s">
        <v>172</v>
      </c>
      <c r="AJ4" s="11" t="s">
        <v>173</v>
      </c>
      <c r="AK4" s="11" t="s">
        <v>174</v>
      </c>
      <c r="AL4" s="11" t="s">
        <v>175</v>
      </c>
      <c r="AM4" s="11" t="s">
        <v>176</v>
      </c>
      <c r="AN4" s="11" t="s">
        <v>177</v>
      </c>
      <c r="AO4" s="11" t="s">
        <v>178</v>
      </c>
      <c r="AP4" s="11" t="s">
        <v>179</v>
      </c>
      <c r="AQ4" s="11" t="s">
        <v>180</v>
      </c>
      <c r="AR4" s="11" t="s">
        <v>181</v>
      </c>
      <c r="AS4" s="11" t="s">
        <v>182</v>
      </c>
      <c r="AT4" s="11" t="s">
        <v>183</v>
      </c>
      <c r="AU4" s="11" t="s">
        <v>184</v>
      </c>
      <c r="AV4" s="11" t="s">
        <v>185</v>
      </c>
      <c r="AW4" s="11" t="s">
        <v>186</v>
      </c>
    </row>
    <row r="5" spans="1:49" x14ac:dyDescent="0.2">
      <c r="A5" s="12" t="s">
        <v>227</v>
      </c>
      <c r="B5" s="13"/>
      <c r="C5" s="13"/>
      <c r="D5" s="13"/>
      <c r="E5" s="13"/>
      <c r="F5" s="13"/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  <c r="AB5" s="13"/>
      <c r="AC5" s="13"/>
      <c r="AD5" s="13"/>
      <c r="AE5" s="13"/>
      <c r="AF5" s="13"/>
      <c r="AG5" s="13"/>
      <c r="AH5" s="13"/>
      <c r="AI5" s="13"/>
      <c r="AJ5" s="13"/>
      <c r="AK5" s="13"/>
      <c r="AL5" s="13"/>
      <c r="AM5" s="13"/>
      <c r="AN5" s="13"/>
      <c r="AO5" s="13"/>
      <c r="AP5" s="13"/>
      <c r="AQ5" s="13"/>
      <c r="AR5" s="13"/>
      <c r="AS5" s="13"/>
      <c r="AT5" s="13"/>
      <c r="AU5" s="13"/>
      <c r="AV5" s="13"/>
      <c r="AW5" s="13"/>
    </row>
    <row r="6" spans="1:49" x14ac:dyDescent="0.2">
      <c r="A6" s="4" t="s">
        <v>228</v>
      </c>
      <c r="B6" s="2" t="s">
        <v>208</v>
      </c>
      <c r="C6" s="32">
        <f>+SUM(Debt!$E$6:$AW$6)+SUM(Debt!$E$9:$AW$9)</f>
        <v>559662400</v>
      </c>
      <c r="D6" s="2" t="s">
        <v>229</v>
      </c>
    </row>
    <row r="7" spans="1:49" x14ac:dyDescent="0.2">
      <c r="A7" s="4" t="s">
        <v>227</v>
      </c>
      <c r="B7" s="2" t="s">
        <v>208</v>
      </c>
      <c r="C7" s="53"/>
      <c r="D7" s="2" t="s">
        <v>339</v>
      </c>
      <c r="E7" s="36">
        <f>+$C$6/Inputs!$F$35*Timeline!E$8</f>
        <v>0</v>
      </c>
      <c r="F7" s="36">
        <f>+$C$6/Inputs!$F$35*Timeline!F$8</f>
        <v>0</v>
      </c>
      <c r="G7" s="36">
        <f>+$C$6/Inputs!$F$35*Timeline!G$8</f>
        <v>18655413.333333332</v>
      </c>
      <c r="H7" s="36">
        <f>+$C$6/Inputs!$F$35*Timeline!H$8</f>
        <v>18655413.333333332</v>
      </c>
      <c r="I7" s="36">
        <f>+$C$6/Inputs!$F$35*Timeline!I$8</f>
        <v>18655413.333333332</v>
      </c>
      <c r="J7" s="36">
        <f>+$C$6/Inputs!$F$35*Timeline!J$8</f>
        <v>18655413.333333332</v>
      </c>
      <c r="K7" s="36">
        <f>+$C$6/Inputs!$F$35*Timeline!K$8</f>
        <v>18655413.333333332</v>
      </c>
      <c r="L7" s="36">
        <f>+$C$6/Inputs!$F$35*Timeline!L$8</f>
        <v>18655413.333333332</v>
      </c>
      <c r="M7" s="36">
        <f>+$C$6/Inputs!$F$35*Timeline!M$8</f>
        <v>18655413.333333332</v>
      </c>
      <c r="N7" s="36">
        <f>+$C$6/Inputs!$F$35*Timeline!N$8</f>
        <v>18655413.333333332</v>
      </c>
      <c r="O7" s="36">
        <f>+$C$6/Inputs!$F$35*Timeline!O$8</f>
        <v>18655413.333333332</v>
      </c>
      <c r="P7" s="36">
        <f>+$C$6/Inputs!$F$35*Timeline!P$8</f>
        <v>18655413.333333332</v>
      </c>
      <c r="Q7" s="36">
        <f>+$C$6/Inputs!$F$35*Timeline!Q$8</f>
        <v>18655413.333333332</v>
      </c>
      <c r="R7" s="36">
        <f>+$C$6/Inputs!$F$35*Timeline!R$8</f>
        <v>18655413.333333332</v>
      </c>
      <c r="S7" s="36">
        <f>+$C$6/Inputs!$F$35*Timeline!S$8</f>
        <v>18655413.333333332</v>
      </c>
      <c r="T7" s="36">
        <f>+$C$6/Inputs!$F$35*Timeline!T$8</f>
        <v>18655413.333333332</v>
      </c>
      <c r="U7" s="36">
        <f>+$C$6/Inputs!$F$35*Timeline!U$8</f>
        <v>18655413.333333332</v>
      </c>
      <c r="V7" s="36">
        <f>+$C$6/Inputs!$F$35*Timeline!V$8</f>
        <v>18655413.333333332</v>
      </c>
      <c r="W7" s="36">
        <f>+$C$6/Inputs!$F$35*Timeline!W$8</f>
        <v>18655413.333333332</v>
      </c>
      <c r="X7" s="36">
        <f>+$C$6/Inputs!$F$35*Timeline!X$8</f>
        <v>18655413.333333332</v>
      </c>
      <c r="Y7" s="36">
        <f>+$C$6/Inputs!$F$35*Timeline!Y$8</f>
        <v>18655413.333333332</v>
      </c>
      <c r="Z7" s="36">
        <f>+$C$6/Inputs!$F$35*Timeline!Z$8</f>
        <v>18655413.333333332</v>
      </c>
      <c r="AA7" s="36">
        <f>+$C$6/Inputs!$F$35*Timeline!AA$8</f>
        <v>18655413.333333332</v>
      </c>
      <c r="AB7" s="36">
        <f>+$C$6/Inputs!$F$35*Timeline!AB$8</f>
        <v>18655413.333333332</v>
      </c>
      <c r="AC7" s="36">
        <f>+$C$6/Inputs!$F$35*Timeline!AC$8</f>
        <v>18655413.333333332</v>
      </c>
      <c r="AD7" s="36">
        <f>+$C$6/Inputs!$F$35*Timeline!AD$8</f>
        <v>18655413.333333332</v>
      </c>
      <c r="AE7" s="36">
        <f>+$C$6/Inputs!$F$35*Timeline!AE$8</f>
        <v>18655413.333333332</v>
      </c>
      <c r="AF7" s="36">
        <f>+$C$6/Inputs!$F$35*Timeline!AF$8</f>
        <v>18655413.333333332</v>
      </c>
      <c r="AG7" s="36">
        <f>+$C$6/Inputs!$F$35*Timeline!AG$8</f>
        <v>18655413.333333332</v>
      </c>
      <c r="AH7" s="36">
        <f>+$C$6/Inputs!$F$35*Timeline!AH$8</f>
        <v>18655413.333333332</v>
      </c>
      <c r="AI7" s="36">
        <f>+$C$6/Inputs!$F$35*Timeline!AI$8</f>
        <v>18655413.333333332</v>
      </c>
      <c r="AJ7" s="36">
        <f>+$C$6/Inputs!$F$35*Timeline!AJ$8</f>
        <v>18655413.333333332</v>
      </c>
      <c r="AK7" s="36">
        <f>+$C$6/Inputs!$F$35*Timeline!AK$8</f>
        <v>0</v>
      </c>
      <c r="AL7" s="36">
        <f>+$C$6/Inputs!$F$35*Timeline!AL$8</f>
        <v>0</v>
      </c>
      <c r="AM7" s="36">
        <f>+$C$6/Inputs!$F$35*Timeline!AM$8</f>
        <v>0</v>
      </c>
      <c r="AN7" s="36">
        <f>+$C$6/Inputs!$F$35*Timeline!AN$8</f>
        <v>0</v>
      </c>
      <c r="AO7" s="36">
        <f>+$C$6/Inputs!$F$35*Timeline!AO$8</f>
        <v>0</v>
      </c>
      <c r="AP7" s="36">
        <f>+$C$6/Inputs!$F$35*Timeline!AP$8</f>
        <v>0</v>
      </c>
      <c r="AQ7" s="36">
        <f>+$C$6/Inputs!$F$35*Timeline!AQ$8</f>
        <v>0</v>
      </c>
      <c r="AR7" s="36">
        <f>+$C$6/Inputs!$F$35*Timeline!AR$8</f>
        <v>0</v>
      </c>
      <c r="AS7" s="36">
        <f>+$C$6/Inputs!$F$35*Timeline!AS$8</f>
        <v>0</v>
      </c>
      <c r="AT7" s="36">
        <f>+$C$6/Inputs!$F$35*Timeline!AT$8</f>
        <v>0</v>
      </c>
      <c r="AU7" s="36">
        <f>+$C$6/Inputs!$F$35*Timeline!AU$8</f>
        <v>0</v>
      </c>
      <c r="AV7" s="36">
        <f>+$C$6/Inputs!$F$35*Timeline!AV$8</f>
        <v>0</v>
      </c>
      <c r="AW7" s="36">
        <f>+$C$6/Inputs!$F$35*Timeline!AW$8</f>
        <v>0</v>
      </c>
    </row>
    <row r="8" spans="1:49" x14ac:dyDescent="0.2">
      <c r="A8" s="12" t="s">
        <v>230</v>
      </c>
      <c r="B8" s="13"/>
      <c r="C8" s="13"/>
      <c r="D8" s="13"/>
      <c r="E8" s="13"/>
      <c r="F8" s="13"/>
      <c r="G8" s="13"/>
      <c r="H8" s="13"/>
      <c r="I8" s="13"/>
      <c r="J8" s="13"/>
      <c r="K8" s="13"/>
      <c r="L8" s="13"/>
      <c r="M8" s="13"/>
      <c r="N8" s="13"/>
      <c r="O8" s="13"/>
      <c r="P8" s="13"/>
      <c r="Q8" s="13"/>
      <c r="R8" s="13"/>
      <c r="S8" s="13"/>
      <c r="T8" s="13"/>
      <c r="U8" s="13"/>
      <c r="V8" s="13"/>
      <c r="W8" s="13"/>
      <c r="X8" s="13"/>
      <c r="Y8" s="13"/>
      <c r="Z8" s="13"/>
      <c r="AA8" s="13"/>
      <c r="AB8" s="13"/>
      <c r="AC8" s="13"/>
      <c r="AD8" s="13"/>
      <c r="AE8" s="13"/>
      <c r="AF8" s="13"/>
      <c r="AG8" s="13"/>
      <c r="AH8" s="13"/>
      <c r="AI8" s="13"/>
      <c r="AJ8" s="13"/>
      <c r="AK8" s="13"/>
      <c r="AL8" s="13"/>
      <c r="AM8" s="13"/>
      <c r="AN8" s="13"/>
      <c r="AO8" s="13"/>
      <c r="AP8" s="13"/>
      <c r="AQ8" s="13"/>
      <c r="AR8" s="13"/>
      <c r="AS8" s="13"/>
      <c r="AT8" s="13"/>
      <c r="AU8" s="13"/>
      <c r="AV8" s="13"/>
      <c r="AW8" s="13"/>
    </row>
    <row r="9" spans="1:49" x14ac:dyDescent="0.2">
      <c r="A9" s="4" t="s">
        <v>231</v>
      </c>
      <c r="B9" s="2" t="s">
        <v>208</v>
      </c>
      <c r="C9" s="53"/>
      <c r="D9" s="2" t="s">
        <v>340</v>
      </c>
      <c r="E9" s="36">
        <f>+Operations!E$12-Debt!E$14-Tax!E$7</f>
        <v>0</v>
      </c>
      <c r="F9" s="36">
        <f>+Operations!F$12-Debt!F$14-Tax!F$7</f>
        <v>0</v>
      </c>
      <c r="G9" s="36">
        <f>+Operations!G$12-Debt!G$14-Tax!G$7</f>
        <v>-13341619.733333331</v>
      </c>
      <c r="H9" s="36">
        <f>+Operations!H$12-Debt!H$14-Tax!H$7</f>
        <v>-13164451.726983435</v>
      </c>
      <c r="I9" s="36">
        <f>+Operations!I$12-Debt!I$14-Tax!I$7</f>
        <v>-12962926.936246194</v>
      </c>
      <c r="J9" s="36">
        <f>+Operations!J$12-Debt!J$14-Tax!J$7</f>
        <v>-12735627.344953988</v>
      </c>
      <c r="K9" s="36">
        <f>+Operations!K$12-Debt!K$14-Tax!K$7</f>
        <v>-12481048.099214546</v>
      </c>
      <c r="L9" s="36">
        <f>+Operations!L$12-Debt!L$14-Tax!L$7</f>
        <v>-12197592.212003499</v>
      </c>
      <c r="M9" s="36">
        <f>+Operations!M$12-Debt!M$14-Tax!M$7</f>
        <v>-11883564.944728475</v>
      </c>
      <c r="N9" s="36">
        <f>+Operations!N$12-Debt!N$14-Tax!N$7</f>
        <v>-11537167.846060298</v>
      </c>
      <c r="O9" s="36">
        <f>+Operations!O$12-Debt!O$14-Tax!O$7</f>
        <v>-11156492.427124422</v>
      </c>
      <c r="P9" s="36">
        <f>+Operations!P$12-Debt!P$14-Tax!P$7</f>
        <v>-10739513.450870778</v>
      </c>
      <c r="Q9" s="36">
        <f>+Operations!Q$12-Debt!Q$14-Tax!Q$7</f>
        <v>-10284081.81208678</v>
      </c>
      <c r="R9" s="36">
        <f>+Operations!R$12-Debt!R$14-Tax!R$7</f>
        <v>-9787916.9830829799</v>
      </c>
      <c r="S9" s="36">
        <f>+Operations!S$12-Debt!S$14-Tax!S$7</f>
        <v>-9248598.9985572398</v>
      </c>
      <c r="T9" s="36">
        <f>+Operations!T$12-Debt!T$14-Tax!T$7</f>
        <v>-8663559.9515274689</v>
      </c>
      <c r="U9" s="36">
        <f>+Operations!U$12-Debt!U$14-Tax!U$7</f>
        <v>-8030074.9705081806</v>
      </c>
      <c r="V9" s="36">
        <f>+Operations!V$12-Debt!V$14-Tax!V$7</f>
        <v>-7345252.6462866236</v>
      </c>
      <c r="W9" s="36">
        <f>+Operations!W$12-Debt!W$14-Tax!W$7</f>
        <v>-6606024.8747242447</v>
      </c>
      <c r="X9" s="36">
        <f>+Operations!X$12-Debt!X$14-Tax!X$7</f>
        <v>-5809136.0799610708</v>
      </c>
      <c r="Y9" s="36">
        <f>+Operations!Y$12-Debt!Y$14-Tax!Y$7</f>
        <v>-4951131.7802275382</v>
      </c>
      <c r="Z9" s="36">
        <f>+Operations!Z$12-Debt!Z$14-Tax!Z$7</f>
        <v>-4028346.4561628904</v>
      </c>
      <c r="AA9" s="36">
        <f>+Operations!AA$12-Debt!AA$14-Tax!AA$7</f>
        <v>-3036890.6790931802</v>
      </c>
      <c r="AB9" s="36">
        <f>+Operations!AB$12-Debt!AB$14-Tax!AB$7</f>
        <v>-1972637.4541262761</v>
      </c>
      <c r="AC9" s="36">
        <f>+Operations!AC$12-Debt!AC$14-Tax!AC$7</f>
        <v>-831207.73016794026</v>
      </c>
      <c r="AD9" s="36">
        <f>+Operations!AD$12-Debt!AD$14-Tax!AD$7</f>
        <v>392044.97395897657</v>
      </c>
      <c r="AE9" s="36">
        <f>+Operations!AE$12-Debt!AE$14-Tax!AE$7</f>
        <v>1702050.8812097199</v>
      </c>
      <c r="AF9" s="36">
        <f>+Operations!AF$12-Debt!AF$14-Tax!AF$7</f>
        <v>3104041.2630339675</v>
      </c>
      <c r="AG9" s="36">
        <f>+Operations!AG$12-Debt!AG$14-Tax!AG$7</f>
        <v>4603566.8018095605</v>
      </c>
      <c r="AH9" s="36">
        <f>+Operations!AH$12-Debt!AH$14-Tax!AH$7</f>
        <v>6206517.073392231</v>
      </c>
      <c r="AI9" s="36">
        <f>+Operations!AI$12-Debt!AI$14-Tax!AI$7</f>
        <v>6027207.4213586077</v>
      </c>
      <c r="AJ9" s="36">
        <f>+Operations!AJ$12-Debt!AJ$14-Tax!AJ$7</f>
        <v>5848794.3175851479</v>
      </c>
      <c r="AK9" s="36">
        <f>+Operations!AK$12-Debt!AK$14-Tax!AK$7</f>
        <v>0</v>
      </c>
      <c r="AL9" s="36">
        <f>+Operations!AL$12-Debt!AL$14-Tax!AL$7</f>
        <v>0</v>
      </c>
      <c r="AM9" s="36">
        <f>+Operations!AM$12-Debt!AM$14-Tax!AM$7</f>
        <v>0</v>
      </c>
      <c r="AN9" s="36">
        <f>+Operations!AN$12-Debt!AN$14-Tax!AN$7</f>
        <v>0</v>
      </c>
      <c r="AO9" s="36">
        <f>+Operations!AO$12-Debt!AO$14-Tax!AO$7</f>
        <v>0</v>
      </c>
      <c r="AP9" s="36">
        <f>+Operations!AP$12-Debt!AP$14-Tax!AP$7</f>
        <v>0</v>
      </c>
      <c r="AQ9" s="36">
        <f>+Operations!AQ$12-Debt!AQ$14-Tax!AQ$7</f>
        <v>0</v>
      </c>
      <c r="AR9" s="36">
        <f>+Operations!AR$12-Debt!AR$14-Tax!AR$7</f>
        <v>0</v>
      </c>
      <c r="AS9" s="36">
        <f>+Operations!AS$12-Debt!AS$14-Tax!AS$7</f>
        <v>0</v>
      </c>
      <c r="AT9" s="36">
        <f>+Operations!AT$12-Debt!AT$14-Tax!AT$7</f>
        <v>0</v>
      </c>
      <c r="AU9" s="36">
        <f>+Operations!AU$12-Debt!AU$14-Tax!AU$7</f>
        <v>0</v>
      </c>
      <c r="AV9" s="36">
        <f>+Operations!AV$12-Debt!AV$14-Tax!AV$7</f>
        <v>0</v>
      </c>
      <c r="AW9" s="36">
        <f>+Operations!AW$12-Debt!AW$14-Tax!AW$7</f>
        <v>0</v>
      </c>
    </row>
    <row r="10" spans="1:49" x14ac:dyDescent="0.2">
      <c r="A10" s="4" t="s">
        <v>232</v>
      </c>
      <c r="B10" s="2" t="s">
        <v>208</v>
      </c>
      <c r="C10" s="53"/>
      <c r="D10" s="2"/>
      <c r="E10" s="36">
        <f>+MAX(E$9,0)*((Inputs!$F$27*Inputs!$F$29)+(Inputs!$F$28*(1-Inputs!$F$29)))</f>
        <v>0</v>
      </c>
      <c r="F10" s="36">
        <f>+MAX(F$9,0)*((Inputs!$F$27*Inputs!$F$29)+(Inputs!$F$28*(1-Inputs!$F$29)))</f>
        <v>0</v>
      </c>
      <c r="G10" s="36">
        <f>+MAX(G$9,0)*((Inputs!$F$27*Inputs!$F$29)+(Inputs!$F$28*(1-Inputs!$F$29)))</f>
        <v>0</v>
      </c>
      <c r="H10" s="36">
        <f>+MAX(H$9,0)*((Inputs!$F$27*Inputs!$F$29)+(Inputs!$F$28*(1-Inputs!$F$29)))</f>
        <v>0</v>
      </c>
      <c r="I10" s="36">
        <f>+MAX(I$9,0)*((Inputs!$F$27*Inputs!$F$29)+(Inputs!$F$28*(1-Inputs!$F$29)))</f>
        <v>0</v>
      </c>
      <c r="J10" s="36">
        <f>+MAX(J$9,0)*((Inputs!$F$27*Inputs!$F$29)+(Inputs!$F$28*(1-Inputs!$F$29)))</f>
        <v>0</v>
      </c>
      <c r="K10" s="36">
        <f>+MAX(K$9,0)*((Inputs!$F$27*Inputs!$F$29)+(Inputs!$F$28*(1-Inputs!$F$29)))</f>
        <v>0</v>
      </c>
      <c r="L10" s="36">
        <f>+MAX(L$9,0)*((Inputs!$F$27*Inputs!$F$29)+(Inputs!$F$28*(1-Inputs!$F$29)))</f>
        <v>0</v>
      </c>
      <c r="M10" s="36">
        <f>+MAX(M$9,0)*((Inputs!$F$27*Inputs!$F$29)+(Inputs!$F$28*(1-Inputs!$F$29)))</f>
        <v>0</v>
      </c>
      <c r="N10" s="36">
        <f>+MAX(N$9,0)*((Inputs!$F$27*Inputs!$F$29)+(Inputs!$F$28*(1-Inputs!$F$29)))</f>
        <v>0</v>
      </c>
      <c r="O10" s="36">
        <f>+MAX(O$9,0)*((Inputs!$F$27*Inputs!$F$29)+(Inputs!$F$28*(1-Inputs!$F$29)))</f>
        <v>0</v>
      </c>
      <c r="P10" s="36">
        <f>+MAX(P$9,0)*((Inputs!$F$27*Inputs!$F$29)+(Inputs!$F$28*(1-Inputs!$F$29)))</f>
        <v>0</v>
      </c>
      <c r="Q10" s="36">
        <f>+MAX(Q$9,0)*((Inputs!$F$27*Inputs!$F$29)+(Inputs!$F$28*(1-Inputs!$F$29)))</f>
        <v>0</v>
      </c>
      <c r="R10" s="36">
        <f>+MAX(R$9,0)*((Inputs!$F$27*Inputs!$F$29)+(Inputs!$F$28*(1-Inputs!$F$29)))</f>
        <v>0</v>
      </c>
      <c r="S10" s="36">
        <f>+MAX(S$9,0)*((Inputs!$F$27*Inputs!$F$29)+(Inputs!$F$28*(1-Inputs!$F$29)))</f>
        <v>0</v>
      </c>
      <c r="T10" s="36">
        <f>+MAX(T$9,0)*((Inputs!$F$27*Inputs!$F$29)+(Inputs!$F$28*(1-Inputs!$F$29)))</f>
        <v>0</v>
      </c>
      <c r="U10" s="36">
        <f>+MAX(U$9,0)*((Inputs!$F$27*Inputs!$F$29)+(Inputs!$F$28*(1-Inputs!$F$29)))</f>
        <v>0</v>
      </c>
      <c r="V10" s="36">
        <f>+MAX(V$9,0)*((Inputs!$F$27*Inputs!$F$29)+(Inputs!$F$28*(1-Inputs!$F$29)))</f>
        <v>0</v>
      </c>
      <c r="W10" s="36">
        <f>+MAX(W$9,0)*((Inputs!$F$27*Inputs!$F$29)+(Inputs!$F$28*(1-Inputs!$F$29)))</f>
        <v>0</v>
      </c>
      <c r="X10" s="36">
        <f>+MAX(X$9,0)*((Inputs!$F$27*Inputs!$F$29)+(Inputs!$F$28*(1-Inputs!$F$29)))</f>
        <v>0</v>
      </c>
      <c r="Y10" s="36">
        <f>+MAX(Y$9,0)*((Inputs!$F$27*Inputs!$F$29)+(Inputs!$F$28*(1-Inputs!$F$29)))</f>
        <v>0</v>
      </c>
      <c r="Z10" s="36">
        <f>+MAX(Z$9,0)*((Inputs!$F$27*Inputs!$F$29)+(Inputs!$F$28*(1-Inputs!$F$29)))</f>
        <v>0</v>
      </c>
      <c r="AA10" s="36">
        <f>+MAX(AA$9,0)*((Inputs!$F$27*Inputs!$F$29)+(Inputs!$F$28*(1-Inputs!$F$29)))</f>
        <v>0</v>
      </c>
      <c r="AB10" s="36">
        <f>+MAX(AB$9,0)*((Inputs!$F$27*Inputs!$F$29)+(Inputs!$F$28*(1-Inputs!$F$29)))</f>
        <v>0</v>
      </c>
      <c r="AC10" s="36">
        <f>+MAX(AC$9,0)*((Inputs!$F$27*Inputs!$F$29)+(Inputs!$F$28*(1-Inputs!$F$29)))</f>
        <v>0</v>
      </c>
      <c r="AD10" s="36">
        <f>+MAX(AD$9,0)*((Inputs!$F$27*Inputs!$F$29)+(Inputs!$F$28*(1-Inputs!$F$29)))</f>
        <v>0</v>
      </c>
      <c r="AE10" s="36">
        <f>+MAX(AE$9,0)*((Inputs!$F$27*Inputs!$F$29)+(Inputs!$F$28*(1-Inputs!$F$29)))</f>
        <v>0</v>
      </c>
      <c r="AF10" s="36">
        <f>+MAX(AF$9,0)*((Inputs!$F$27*Inputs!$F$29)+(Inputs!$F$28*(1-Inputs!$F$29)))</f>
        <v>0</v>
      </c>
      <c r="AG10" s="36">
        <f>+MAX(AG$9,0)*((Inputs!$F$27*Inputs!$F$29)+(Inputs!$F$28*(1-Inputs!$F$29)))</f>
        <v>0</v>
      </c>
      <c r="AH10" s="36">
        <f>+MAX(AH$9,0)*((Inputs!$F$27*Inputs!$F$29)+(Inputs!$F$28*(1-Inputs!$F$29)))</f>
        <v>0</v>
      </c>
      <c r="AI10" s="36">
        <f>+MAX(AI$9,0)*((Inputs!$F$27*Inputs!$F$29)+(Inputs!$F$28*(1-Inputs!$F$29)))</f>
        <v>0</v>
      </c>
      <c r="AJ10" s="36">
        <f>+MAX(AJ$9,0)*((Inputs!$F$27*Inputs!$F$29)+(Inputs!$F$28*(1-Inputs!$F$29)))</f>
        <v>0</v>
      </c>
      <c r="AK10" s="36">
        <f>+MAX(AK$9,0)*((Inputs!$F$27*Inputs!$F$29)+(Inputs!$F$28*(1-Inputs!$F$29)))</f>
        <v>0</v>
      </c>
      <c r="AL10" s="36">
        <f>+MAX(AL$9,0)*((Inputs!$F$27*Inputs!$F$29)+(Inputs!$F$28*(1-Inputs!$F$29)))</f>
        <v>0</v>
      </c>
      <c r="AM10" s="36">
        <f>+MAX(AM$9,0)*((Inputs!$F$27*Inputs!$F$29)+(Inputs!$F$28*(1-Inputs!$F$29)))</f>
        <v>0</v>
      </c>
      <c r="AN10" s="36">
        <f>+MAX(AN$9,0)*((Inputs!$F$27*Inputs!$F$29)+(Inputs!$F$28*(1-Inputs!$F$29)))</f>
        <v>0</v>
      </c>
      <c r="AO10" s="36">
        <f>+MAX(AO$9,0)*((Inputs!$F$27*Inputs!$F$29)+(Inputs!$F$28*(1-Inputs!$F$29)))</f>
        <v>0</v>
      </c>
      <c r="AP10" s="36">
        <f>+MAX(AP$9,0)*((Inputs!$F$27*Inputs!$F$29)+(Inputs!$F$28*(1-Inputs!$F$29)))</f>
        <v>0</v>
      </c>
      <c r="AQ10" s="36">
        <f>+MAX(AQ$9,0)*((Inputs!$F$27*Inputs!$F$29)+(Inputs!$F$28*(1-Inputs!$F$29)))</f>
        <v>0</v>
      </c>
      <c r="AR10" s="36">
        <f>+MAX(AR$9,0)*((Inputs!$F$27*Inputs!$F$29)+(Inputs!$F$28*(1-Inputs!$F$29)))</f>
        <v>0</v>
      </c>
      <c r="AS10" s="36">
        <f>+MAX(AS$9,0)*((Inputs!$F$27*Inputs!$F$29)+(Inputs!$F$28*(1-Inputs!$F$29)))</f>
        <v>0</v>
      </c>
      <c r="AT10" s="36">
        <f>+MAX(AT$9,0)*((Inputs!$F$27*Inputs!$F$29)+(Inputs!$F$28*(1-Inputs!$F$29)))</f>
        <v>0</v>
      </c>
      <c r="AU10" s="36">
        <f>+MAX(AU$9,0)*((Inputs!$F$27*Inputs!$F$29)+(Inputs!$F$28*(1-Inputs!$F$29)))</f>
        <v>0</v>
      </c>
      <c r="AV10" s="36">
        <f>+MAX(AV$9,0)*((Inputs!$F$27*Inputs!$F$29)+(Inputs!$F$28*(1-Inputs!$F$29)))</f>
        <v>0</v>
      </c>
      <c r="AW10" s="36">
        <f>+MAX(AW$9,0)*((Inputs!$F$27*Inputs!$F$29)+(Inputs!$F$28*(1-Inputs!$F$29)))</f>
        <v>0</v>
      </c>
    </row>
    <row r="11" spans="1:49" x14ac:dyDescent="0.2">
      <c r="A11" s="4" t="s">
        <v>233</v>
      </c>
      <c r="B11" s="2" t="s">
        <v>208</v>
      </c>
      <c r="C11" s="53"/>
      <c r="D11" s="2" t="s">
        <v>341</v>
      </c>
      <c r="E11" s="36">
        <f>+IF(Tax!E$9&gt;(Inputs!$E$31/Inputs!$E$32),(Tax!E$9-Inputs!$E$31/Inputs!$E$32)*Inputs!$F$30,0)</f>
        <v>0</v>
      </c>
      <c r="F11" s="36">
        <f>+IF(Tax!F$9&gt;(Inputs!$E$31/Inputs!$E$32),(Tax!F$9-Inputs!$E$31/Inputs!$E$32)*Inputs!$F$30,0)</f>
        <v>0</v>
      </c>
      <c r="G11" s="36">
        <f>+IF(Tax!G$9&gt;(Inputs!$E$31/Inputs!$E$32),(Tax!G$9-Inputs!$E$31/Inputs!$E$32)*Inputs!$F$30,0)</f>
        <v>0</v>
      </c>
      <c r="H11" s="36">
        <f>+IF(Tax!H$9&gt;(Inputs!$E$31/Inputs!$E$32),(Tax!H$9-Inputs!$E$31/Inputs!$E$32)*Inputs!$F$30,0)</f>
        <v>0</v>
      </c>
      <c r="I11" s="36">
        <f>+IF(Tax!I$9&gt;(Inputs!$E$31/Inputs!$E$32),(Tax!I$9-Inputs!$E$31/Inputs!$E$32)*Inputs!$F$30,0)</f>
        <v>0</v>
      </c>
      <c r="J11" s="36">
        <f>+IF(Tax!J$9&gt;(Inputs!$E$31/Inputs!$E$32),(Tax!J$9-Inputs!$E$31/Inputs!$E$32)*Inputs!$F$30,0)</f>
        <v>0</v>
      </c>
      <c r="K11" s="36">
        <f>+IF(Tax!K$9&gt;(Inputs!$E$31/Inputs!$E$32),(Tax!K$9-Inputs!$E$31/Inputs!$E$32)*Inputs!$F$30,0)</f>
        <v>0</v>
      </c>
      <c r="L11" s="36">
        <f>+IF(Tax!L$9&gt;(Inputs!$E$31/Inputs!$E$32),(Tax!L$9-Inputs!$E$31/Inputs!$E$32)*Inputs!$F$30,0)</f>
        <v>0</v>
      </c>
      <c r="M11" s="36">
        <f>+IF(Tax!M$9&gt;(Inputs!$E$31/Inputs!$E$32),(Tax!M$9-Inputs!$E$31/Inputs!$E$32)*Inputs!$F$30,0)</f>
        <v>0</v>
      </c>
      <c r="N11" s="36">
        <f>+IF(Tax!N$9&gt;(Inputs!$E$31/Inputs!$E$32),(Tax!N$9-Inputs!$E$31/Inputs!$E$32)*Inputs!$F$30,0)</f>
        <v>0</v>
      </c>
      <c r="O11" s="36">
        <f>+IF(Tax!O$9&gt;(Inputs!$E$31/Inputs!$E$32),(Tax!O$9-Inputs!$E$31/Inputs!$E$32)*Inputs!$F$30,0)</f>
        <v>0</v>
      </c>
      <c r="P11" s="36">
        <f>+IF(Tax!P$9&gt;(Inputs!$E$31/Inputs!$E$32),(Tax!P$9-Inputs!$E$31/Inputs!$E$32)*Inputs!$F$30,0)</f>
        <v>0</v>
      </c>
      <c r="Q11" s="36">
        <f>+IF(Tax!Q$9&gt;(Inputs!$E$31/Inputs!$E$32),(Tax!Q$9-Inputs!$E$31/Inputs!$E$32)*Inputs!$F$30,0)</f>
        <v>0</v>
      </c>
      <c r="R11" s="36">
        <f>+IF(Tax!R$9&gt;(Inputs!$E$31/Inputs!$E$32),(Tax!R$9-Inputs!$E$31/Inputs!$E$32)*Inputs!$F$30,0)</f>
        <v>0</v>
      </c>
      <c r="S11" s="36">
        <f>+IF(Tax!S$9&gt;(Inputs!$E$31/Inputs!$E$32),(Tax!S$9-Inputs!$E$31/Inputs!$E$32)*Inputs!$F$30,0)</f>
        <v>0</v>
      </c>
      <c r="T11" s="36">
        <f>+IF(Tax!T$9&gt;(Inputs!$E$31/Inputs!$E$32),(Tax!T$9-Inputs!$E$31/Inputs!$E$32)*Inputs!$F$30,0)</f>
        <v>0</v>
      </c>
      <c r="U11" s="36">
        <f>+IF(Tax!U$9&gt;(Inputs!$E$31/Inputs!$E$32),(Tax!U$9-Inputs!$E$31/Inputs!$E$32)*Inputs!$F$30,0)</f>
        <v>0</v>
      </c>
      <c r="V11" s="36">
        <f>+IF(Tax!V$9&gt;(Inputs!$E$31/Inputs!$E$32),(Tax!V$9-Inputs!$E$31/Inputs!$E$32)*Inputs!$F$30,0)</f>
        <v>0</v>
      </c>
      <c r="W11" s="36">
        <f>+IF(Tax!W$9&gt;(Inputs!$E$31/Inputs!$E$32),(Tax!W$9-Inputs!$E$31/Inputs!$E$32)*Inputs!$F$30,0)</f>
        <v>0</v>
      </c>
      <c r="X11" s="36">
        <f>+IF(Tax!X$9&gt;(Inputs!$E$31/Inputs!$E$32),(Tax!X$9-Inputs!$E$31/Inputs!$E$32)*Inputs!$F$30,0)</f>
        <v>0</v>
      </c>
      <c r="Y11" s="36">
        <f>+IF(Tax!Y$9&gt;(Inputs!$E$31/Inputs!$E$32),(Tax!Y$9-Inputs!$E$31/Inputs!$E$32)*Inputs!$F$30,0)</f>
        <v>0</v>
      </c>
      <c r="Z11" s="36">
        <f>+IF(Tax!Z$9&gt;(Inputs!$E$31/Inputs!$E$32),(Tax!Z$9-Inputs!$E$31/Inputs!$E$32)*Inputs!$F$30,0)</f>
        <v>0</v>
      </c>
      <c r="AA11" s="36">
        <f>+IF(Tax!AA$9&gt;(Inputs!$E$31/Inputs!$E$32),(Tax!AA$9-Inputs!$E$31/Inputs!$E$32)*Inputs!$F$30,0)</f>
        <v>0</v>
      </c>
      <c r="AB11" s="36">
        <f>+IF(Tax!AB$9&gt;(Inputs!$E$31/Inputs!$E$32),(Tax!AB$9-Inputs!$E$31/Inputs!$E$32)*Inputs!$F$30,0)</f>
        <v>0</v>
      </c>
      <c r="AC11" s="36">
        <f>+IF(Tax!AC$9&gt;(Inputs!$E$31/Inputs!$E$32),(Tax!AC$9-Inputs!$E$31/Inputs!$E$32)*Inputs!$F$30,0)</f>
        <v>0</v>
      </c>
      <c r="AD11" s="36">
        <f>+IF(Tax!AD$9&gt;(Inputs!$E$31/Inputs!$E$32),(Tax!AD$9-Inputs!$E$31/Inputs!$E$32)*Inputs!$F$30,0)</f>
        <v>26094.122537179228</v>
      </c>
      <c r="AE11" s="36">
        <f>+IF(Tax!AE$9&gt;(Inputs!$E$31/Inputs!$E$32),(Tax!AE$9-Inputs!$E$31/Inputs!$E$32)*Inputs!$F$30,0)</f>
        <v>143994.65418974613</v>
      </c>
      <c r="AF11" s="36">
        <f>+IF(Tax!AF$9&gt;(Inputs!$E$31/Inputs!$E$32),(Tax!AF$9-Inputs!$E$31/Inputs!$E$32)*Inputs!$F$30,0)</f>
        <v>270173.78855392843</v>
      </c>
      <c r="AG11" s="36">
        <f>+IF(Tax!AG$9&gt;(Inputs!$E$31/Inputs!$E$32),(Tax!AG$9-Inputs!$E$31/Inputs!$E$32)*Inputs!$F$30,0)</f>
        <v>405131.08704373176</v>
      </c>
      <c r="AH11" s="36">
        <f>+IF(Tax!AH$9&gt;(Inputs!$E$31/Inputs!$E$32),(Tax!AH$9-Inputs!$E$31/Inputs!$E$32)*Inputs!$F$30,0)</f>
        <v>549396.61148617207</v>
      </c>
      <c r="AI11" s="36">
        <f>+IF(Tax!AI$9&gt;(Inputs!$E$31/Inputs!$E$32),(Tax!AI$9-Inputs!$E$31/Inputs!$E$32)*Inputs!$F$30,0)</f>
        <v>533258.74280314601</v>
      </c>
      <c r="AJ11" s="36">
        <f>+IF(Tax!AJ$9&gt;(Inputs!$E$31/Inputs!$E$32),(Tax!AJ$9-Inputs!$E$31/Inputs!$E$32)*Inputs!$F$30,0)</f>
        <v>517201.56346353464</v>
      </c>
      <c r="AK11" s="36">
        <f>+IF(Tax!AK$9&gt;(Inputs!$E$31/Inputs!$E$32),(Tax!AK$9-Inputs!$E$31/Inputs!$E$32)*Inputs!$F$30,0)</f>
        <v>0</v>
      </c>
      <c r="AL11" s="36">
        <f>+IF(Tax!AL$9&gt;(Inputs!$E$31/Inputs!$E$32),(Tax!AL$9-Inputs!$E$31/Inputs!$E$32)*Inputs!$F$30,0)</f>
        <v>0</v>
      </c>
      <c r="AM11" s="36">
        <f>+IF(Tax!AM$9&gt;(Inputs!$E$31/Inputs!$E$32),(Tax!AM$9-Inputs!$E$31/Inputs!$E$32)*Inputs!$F$30,0)</f>
        <v>0</v>
      </c>
      <c r="AN11" s="36">
        <f>+IF(Tax!AN$9&gt;(Inputs!$E$31/Inputs!$E$32),(Tax!AN$9-Inputs!$E$31/Inputs!$E$32)*Inputs!$F$30,0)</f>
        <v>0</v>
      </c>
      <c r="AO11" s="36">
        <f>+IF(Tax!AO$9&gt;(Inputs!$E$31/Inputs!$E$32),(Tax!AO$9-Inputs!$E$31/Inputs!$E$32)*Inputs!$F$30,0)</f>
        <v>0</v>
      </c>
      <c r="AP11" s="36">
        <f>+IF(Tax!AP$9&gt;(Inputs!$E$31/Inputs!$E$32),(Tax!AP$9-Inputs!$E$31/Inputs!$E$32)*Inputs!$F$30,0)</f>
        <v>0</v>
      </c>
      <c r="AQ11" s="36">
        <f>+IF(Tax!AQ$9&gt;(Inputs!$E$31/Inputs!$E$32),(Tax!AQ$9-Inputs!$E$31/Inputs!$E$32)*Inputs!$F$30,0)</f>
        <v>0</v>
      </c>
      <c r="AR11" s="36">
        <f>+IF(Tax!AR$9&gt;(Inputs!$E$31/Inputs!$E$32),(Tax!AR$9-Inputs!$E$31/Inputs!$E$32)*Inputs!$F$30,0)</f>
        <v>0</v>
      </c>
      <c r="AS11" s="36">
        <f>+IF(Tax!AS$9&gt;(Inputs!$E$31/Inputs!$E$32),(Tax!AS$9-Inputs!$E$31/Inputs!$E$32)*Inputs!$F$30,0)</f>
        <v>0</v>
      </c>
      <c r="AT11" s="36">
        <f>+IF(Tax!AT$9&gt;(Inputs!$E$31/Inputs!$E$32),(Tax!AT$9-Inputs!$E$31/Inputs!$E$32)*Inputs!$F$30,0)</f>
        <v>0</v>
      </c>
      <c r="AU11" s="36">
        <f>+IF(Tax!AU$9&gt;(Inputs!$E$31/Inputs!$E$32),(Tax!AU$9-Inputs!$E$31/Inputs!$E$32)*Inputs!$F$30,0)</f>
        <v>0</v>
      </c>
      <c r="AV11" s="36">
        <f>+IF(Tax!AV$9&gt;(Inputs!$E$31/Inputs!$E$32),(Tax!AV$9-Inputs!$E$31/Inputs!$E$32)*Inputs!$F$30,0)</f>
        <v>0</v>
      </c>
      <c r="AW11" s="36">
        <f>+IF(Tax!AW$9&gt;(Inputs!$E$31/Inputs!$E$32),(Tax!AW$9-Inputs!$E$31/Inputs!$E$32)*Inputs!$F$30,0)</f>
        <v>0</v>
      </c>
    </row>
    <row r="12" spans="1:49" x14ac:dyDescent="0.2">
      <c r="A12" s="4" t="s">
        <v>234</v>
      </c>
      <c r="B12" s="2" t="s">
        <v>208</v>
      </c>
      <c r="C12" s="53"/>
      <c r="D12" s="2"/>
      <c r="E12" s="36">
        <f>+SUM(E10:E11)</f>
        <v>0</v>
      </c>
      <c r="F12" s="36">
        <f t="shared" ref="F12:AW12" si="0">+SUM(F10:F11)</f>
        <v>0</v>
      </c>
      <c r="G12" s="36">
        <f t="shared" si="0"/>
        <v>0</v>
      </c>
      <c r="H12" s="36">
        <f t="shared" si="0"/>
        <v>0</v>
      </c>
      <c r="I12" s="36">
        <f t="shared" si="0"/>
        <v>0</v>
      </c>
      <c r="J12" s="36">
        <f t="shared" si="0"/>
        <v>0</v>
      </c>
      <c r="K12" s="36">
        <f t="shared" si="0"/>
        <v>0</v>
      </c>
      <c r="L12" s="36">
        <f t="shared" si="0"/>
        <v>0</v>
      </c>
      <c r="M12" s="36">
        <f t="shared" si="0"/>
        <v>0</v>
      </c>
      <c r="N12" s="36">
        <f t="shared" si="0"/>
        <v>0</v>
      </c>
      <c r="O12" s="36">
        <f t="shared" si="0"/>
        <v>0</v>
      </c>
      <c r="P12" s="36">
        <f t="shared" si="0"/>
        <v>0</v>
      </c>
      <c r="Q12" s="36">
        <f t="shared" si="0"/>
        <v>0</v>
      </c>
      <c r="R12" s="36">
        <f t="shared" si="0"/>
        <v>0</v>
      </c>
      <c r="S12" s="36">
        <f t="shared" si="0"/>
        <v>0</v>
      </c>
      <c r="T12" s="36">
        <f t="shared" si="0"/>
        <v>0</v>
      </c>
      <c r="U12" s="36">
        <f t="shared" si="0"/>
        <v>0</v>
      </c>
      <c r="V12" s="36">
        <f t="shared" si="0"/>
        <v>0</v>
      </c>
      <c r="W12" s="36">
        <f t="shared" si="0"/>
        <v>0</v>
      </c>
      <c r="X12" s="36">
        <f t="shared" si="0"/>
        <v>0</v>
      </c>
      <c r="Y12" s="36">
        <f t="shared" si="0"/>
        <v>0</v>
      </c>
      <c r="Z12" s="36">
        <f t="shared" si="0"/>
        <v>0</v>
      </c>
      <c r="AA12" s="36">
        <f t="shared" si="0"/>
        <v>0</v>
      </c>
      <c r="AB12" s="36">
        <f t="shared" si="0"/>
        <v>0</v>
      </c>
      <c r="AC12" s="36">
        <f t="shared" si="0"/>
        <v>0</v>
      </c>
      <c r="AD12" s="36">
        <f t="shared" si="0"/>
        <v>26094.122537179228</v>
      </c>
      <c r="AE12" s="36">
        <f t="shared" si="0"/>
        <v>143994.65418974613</v>
      </c>
      <c r="AF12" s="36">
        <f t="shared" si="0"/>
        <v>270173.78855392843</v>
      </c>
      <c r="AG12" s="36">
        <f t="shared" si="0"/>
        <v>405131.08704373176</v>
      </c>
      <c r="AH12" s="36">
        <f t="shared" si="0"/>
        <v>549396.61148617207</v>
      </c>
      <c r="AI12" s="36">
        <f t="shared" si="0"/>
        <v>533258.74280314601</v>
      </c>
      <c r="AJ12" s="36">
        <f t="shared" si="0"/>
        <v>517201.56346353464</v>
      </c>
      <c r="AK12" s="36">
        <f t="shared" si="0"/>
        <v>0</v>
      </c>
      <c r="AL12" s="36">
        <f t="shared" si="0"/>
        <v>0</v>
      </c>
      <c r="AM12" s="36">
        <f t="shared" si="0"/>
        <v>0</v>
      </c>
      <c r="AN12" s="36">
        <f t="shared" si="0"/>
        <v>0</v>
      </c>
      <c r="AO12" s="36">
        <f t="shared" si="0"/>
        <v>0</v>
      </c>
      <c r="AP12" s="36">
        <f t="shared" si="0"/>
        <v>0</v>
      </c>
      <c r="AQ12" s="36">
        <f t="shared" si="0"/>
        <v>0</v>
      </c>
      <c r="AR12" s="36">
        <f t="shared" si="0"/>
        <v>0</v>
      </c>
      <c r="AS12" s="36">
        <f t="shared" si="0"/>
        <v>0</v>
      </c>
      <c r="AT12" s="36">
        <f t="shared" si="0"/>
        <v>0</v>
      </c>
      <c r="AU12" s="36">
        <f t="shared" si="0"/>
        <v>0</v>
      </c>
      <c r="AV12" s="36">
        <f t="shared" si="0"/>
        <v>0</v>
      </c>
      <c r="AW12" s="36">
        <f t="shared" si="0"/>
        <v>0</v>
      </c>
    </row>
    <row r="13" spans="1:49" x14ac:dyDescent="0.2">
      <c r="A13" s="12" t="s">
        <v>235</v>
      </c>
      <c r="B13" s="13"/>
      <c r="C13" s="13"/>
      <c r="D13" s="13"/>
      <c r="E13" s="13"/>
      <c r="F13" s="13"/>
      <c r="G13" s="13"/>
      <c r="H13" s="13"/>
      <c r="I13" s="13"/>
      <c r="J13" s="13"/>
      <c r="K13" s="13"/>
      <c r="L13" s="13"/>
      <c r="M13" s="13"/>
      <c r="N13" s="13"/>
      <c r="O13" s="13"/>
      <c r="P13" s="13"/>
      <c r="Q13" s="13"/>
      <c r="R13" s="13"/>
      <c r="S13" s="13"/>
      <c r="T13" s="13"/>
      <c r="U13" s="13"/>
      <c r="V13" s="13"/>
      <c r="W13" s="13"/>
      <c r="X13" s="13"/>
      <c r="Y13" s="13"/>
      <c r="Z13" s="13"/>
      <c r="AA13" s="13"/>
      <c r="AB13" s="13"/>
      <c r="AC13" s="13"/>
      <c r="AD13" s="13"/>
      <c r="AE13" s="13"/>
      <c r="AF13" s="13"/>
      <c r="AG13" s="13"/>
      <c r="AH13" s="13"/>
      <c r="AI13" s="13"/>
      <c r="AJ13" s="13"/>
      <c r="AK13" s="13"/>
      <c r="AL13" s="13"/>
      <c r="AM13" s="13"/>
      <c r="AN13" s="13"/>
      <c r="AO13" s="13"/>
      <c r="AP13" s="13"/>
      <c r="AQ13" s="13"/>
      <c r="AR13" s="13"/>
      <c r="AS13" s="13"/>
      <c r="AT13" s="13"/>
      <c r="AU13" s="13"/>
      <c r="AV13" s="13"/>
      <c r="AW13" s="13"/>
    </row>
    <row r="14" spans="1:49" x14ac:dyDescent="0.2">
      <c r="A14" s="4" t="s">
        <v>236</v>
      </c>
      <c r="B14" s="2" t="s">
        <v>208</v>
      </c>
      <c r="C14" s="53"/>
      <c r="D14" s="2" t="s">
        <v>342</v>
      </c>
      <c r="E14" s="36">
        <f>+Operations!E$12-Tax!E$7</f>
        <v>0</v>
      </c>
      <c r="F14" s="36">
        <f>+Operations!F$12-Tax!F$7</f>
        <v>0</v>
      </c>
      <c r="G14" s="36">
        <f>+Operations!G$12-Tax!G$7</f>
        <v>11403786.666666668</v>
      </c>
      <c r="H14" s="36">
        <f>+Operations!H$12-Tax!H$7</f>
        <v>11198490.666666668</v>
      </c>
      <c r="I14" s="36">
        <f>+Operations!I$12-Tax!I$7</f>
        <v>10994221.146666672</v>
      </c>
      <c r="J14" s="36">
        <f>+Operations!J$12-Tax!J$7</f>
        <v>10790972.974266667</v>
      </c>
      <c r="K14" s="36">
        <f>+Operations!K$12-Tax!K$7</f>
        <v>10588741.042728674</v>
      </c>
      <c r="L14" s="36">
        <f>+Operations!L$12-Tax!L$7</f>
        <v>10387520.27084836</v>
      </c>
      <c r="M14" s="36">
        <f>+Operations!M$12-Tax!M$7</f>
        <v>10187305.602827456</v>
      </c>
      <c r="N14" s="36">
        <f>+Operations!N$12-Tax!N$7</f>
        <v>9988092.0081466474</v>
      </c>
      <c r="O14" s="36">
        <f>+Operations!O$12-Tax!O$7</f>
        <v>9789874.4814392515</v>
      </c>
      <c r="P14" s="36">
        <f>+Operations!P$12-Tax!P$7</f>
        <v>9592648.0423653834</v>
      </c>
      <c r="Q14" s="36">
        <f>+Operations!Q$12-Tax!Q$7</f>
        <v>9396407.7354868911</v>
      </c>
      <c r="R14" s="36">
        <f>+Operations!R$12-Tax!R$7</f>
        <v>9201148.6301427893</v>
      </c>
      <c r="S14" s="36">
        <f>+Operations!S$12-Tax!S$7</f>
        <v>9006865.8203254081</v>
      </c>
      <c r="T14" s="36">
        <f>+Operations!T$12-Tax!T$7</f>
        <v>8813554.4245571233</v>
      </c>
      <c r="U14" s="36">
        <f>+Operations!U$12-Tax!U$7</f>
        <v>8621209.5857676752</v>
      </c>
      <c r="V14" s="36">
        <f>+Operations!V$12-Tax!V$7</f>
        <v>8429826.4711721651</v>
      </c>
      <c r="W14" s="36">
        <f>+Operations!W$12-Tax!W$7</f>
        <v>8239400.2721496336</v>
      </c>
      <c r="X14" s="36">
        <f>+Operations!X$12-Tax!X$7</f>
        <v>8049926.2041222192</v>
      </c>
      <c r="Y14" s="36">
        <f>+Operations!Y$12-Tax!Y$7</f>
        <v>7861399.5064349361</v>
      </c>
      <c r="Z14" s="36">
        <f>+Operations!Z$12-Tax!Z$7</f>
        <v>7673815.4422360994</v>
      </c>
      <c r="AA14" s="36">
        <f>+Operations!AA$12-Tax!AA$7</f>
        <v>7487169.2983582504</v>
      </c>
      <c r="AB14" s="36">
        <f>+Operations!AB$12-Tax!AB$7</f>
        <v>7301456.3851997964</v>
      </c>
      <c r="AC14" s="36">
        <f>+Operations!AC$12-Tax!AC$7</f>
        <v>7116672.0366071276</v>
      </c>
      <c r="AD14" s="36">
        <f>+Operations!AD$12-Tax!AD$7</f>
        <v>6932811.6097574271</v>
      </c>
      <c r="AE14" s="36">
        <f>+Operations!AE$12-Tax!AE$7</f>
        <v>6749870.4850419797</v>
      </c>
      <c r="AF14" s="36">
        <f>+Operations!AF$12-Tax!AF$7</f>
        <v>6567844.0659500994</v>
      </c>
      <c r="AG14" s="36">
        <f>+Operations!AG$12-Tax!AG$7</f>
        <v>6386727.7789536826</v>
      </c>
      <c r="AH14" s="36">
        <f>+Operations!AH$12-Tax!AH$7</f>
        <v>6206517.0733922459</v>
      </c>
      <c r="AI14" s="36">
        <f>+Operations!AI$12-Tax!AI$7</f>
        <v>6027207.4213586263</v>
      </c>
      <c r="AJ14" s="36">
        <f>+Operations!AJ$12-Tax!AJ$7</f>
        <v>5848794.3175851665</v>
      </c>
      <c r="AK14" s="36">
        <f>+Operations!AK$12-Tax!AK$7</f>
        <v>0</v>
      </c>
      <c r="AL14" s="36">
        <f>+Operations!AL$12-Tax!AL$7</f>
        <v>0</v>
      </c>
      <c r="AM14" s="36">
        <f>+Operations!AM$12-Tax!AM$7</f>
        <v>0</v>
      </c>
      <c r="AN14" s="36">
        <f>+Operations!AN$12-Tax!AN$7</f>
        <v>0</v>
      </c>
      <c r="AO14" s="36">
        <f>+Operations!AO$12-Tax!AO$7</f>
        <v>0</v>
      </c>
      <c r="AP14" s="36">
        <f>+Operations!AP$12-Tax!AP$7</f>
        <v>0</v>
      </c>
      <c r="AQ14" s="36">
        <f>+Operations!AQ$12-Tax!AQ$7</f>
        <v>0</v>
      </c>
      <c r="AR14" s="36">
        <f>+Operations!AR$12-Tax!AR$7</f>
        <v>0</v>
      </c>
      <c r="AS14" s="36">
        <f>+Operations!AS$12-Tax!AS$7</f>
        <v>0</v>
      </c>
      <c r="AT14" s="36">
        <f>+Operations!AT$12-Tax!AT$7</f>
        <v>0</v>
      </c>
      <c r="AU14" s="36">
        <f>+Operations!AU$12-Tax!AU$7</f>
        <v>0</v>
      </c>
      <c r="AV14" s="36">
        <f>+Operations!AV$12-Tax!AV$7</f>
        <v>0</v>
      </c>
      <c r="AW14" s="36">
        <f>+Operations!AW$12-Tax!AW$7</f>
        <v>0</v>
      </c>
    </row>
    <row r="15" spans="1:49" x14ac:dyDescent="0.2">
      <c r="A15" s="4" t="s">
        <v>322</v>
      </c>
      <c r="B15" s="2" t="s">
        <v>208</v>
      </c>
      <c r="C15" s="53"/>
      <c r="D15" s="2"/>
      <c r="E15" s="36">
        <f>+MAX(E$14,0)*((Inputs!$F$27*Inputs!$F$29)+(Inputs!$F$28*(1-Inputs!$F$29)))</f>
        <v>0</v>
      </c>
      <c r="F15" s="36">
        <f>+MAX(F$14,0)*((Inputs!$F$27*Inputs!$F$29)+(Inputs!$F$28*(1-Inputs!$F$29)))</f>
        <v>0</v>
      </c>
      <c r="G15" s="36">
        <f>+MAX(G$14,0)*((Inputs!$F$27*Inputs!$F$29)+(Inputs!$F$28*(1-Inputs!$F$29)))</f>
        <v>0</v>
      </c>
      <c r="H15" s="36">
        <f>+MAX(H$14,0)*((Inputs!$F$27*Inputs!$F$29)+(Inputs!$F$28*(1-Inputs!$F$29)))</f>
        <v>0</v>
      </c>
      <c r="I15" s="36">
        <f>+MAX(I$14,0)*((Inputs!$F$27*Inputs!$F$29)+(Inputs!$F$28*(1-Inputs!$F$29)))</f>
        <v>0</v>
      </c>
      <c r="J15" s="36">
        <f>+MAX(J$14,0)*((Inputs!$F$27*Inputs!$F$29)+(Inputs!$F$28*(1-Inputs!$F$29)))</f>
        <v>0</v>
      </c>
      <c r="K15" s="36">
        <f>+MAX(K$14,0)*((Inputs!$F$27*Inputs!$F$29)+(Inputs!$F$28*(1-Inputs!$F$29)))</f>
        <v>0</v>
      </c>
      <c r="L15" s="36">
        <f>+MAX(L$14,0)*((Inputs!$F$27*Inputs!$F$29)+(Inputs!$F$28*(1-Inputs!$F$29)))</f>
        <v>0</v>
      </c>
      <c r="M15" s="36">
        <f>+MAX(M$14,0)*((Inputs!$F$27*Inputs!$F$29)+(Inputs!$F$28*(1-Inputs!$F$29)))</f>
        <v>0</v>
      </c>
      <c r="N15" s="36">
        <f>+MAX(N$14,0)*((Inputs!$F$27*Inputs!$F$29)+(Inputs!$F$28*(1-Inputs!$F$29)))</f>
        <v>0</v>
      </c>
      <c r="O15" s="36">
        <f>+MAX(O$14,0)*((Inputs!$F$27*Inputs!$F$29)+(Inputs!$F$28*(1-Inputs!$F$29)))</f>
        <v>0</v>
      </c>
      <c r="P15" s="36">
        <f>+MAX(P$14,0)*((Inputs!$F$27*Inputs!$F$29)+(Inputs!$F$28*(1-Inputs!$F$29)))</f>
        <v>0</v>
      </c>
      <c r="Q15" s="36">
        <f>+MAX(Q$14,0)*((Inputs!$F$27*Inputs!$F$29)+(Inputs!$F$28*(1-Inputs!$F$29)))</f>
        <v>0</v>
      </c>
      <c r="R15" s="36">
        <f>+MAX(R$14,0)*((Inputs!$F$27*Inputs!$F$29)+(Inputs!$F$28*(1-Inputs!$F$29)))</f>
        <v>0</v>
      </c>
      <c r="S15" s="36">
        <f>+MAX(S$14,0)*((Inputs!$F$27*Inputs!$F$29)+(Inputs!$F$28*(1-Inputs!$F$29)))</f>
        <v>0</v>
      </c>
      <c r="T15" s="36">
        <f>+MAX(T$14,0)*((Inputs!$F$27*Inputs!$F$29)+(Inputs!$F$28*(1-Inputs!$F$29)))</f>
        <v>0</v>
      </c>
      <c r="U15" s="36">
        <f>+MAX(U$14,0)*((Inputs!$F$27*Inputs!$F$29)+(Inputs!$F$28*(1-Inputs!$F$29)))</f>
        <v>0</v>
      </c>
      <c r="V15" s="36">
        <f>+MAX(V$14,0)*((Inputs!$F$27*Inputs!$F$29)+(Inputs!$F$28*(1-Inputs!$F$29)))</f>
        <v>0</v>
      </c>
      <c r="W15" s="36">
        <f>+MAX(W$14,0)*((Inputs!$F$27*Inputs!$F$29)+(Inputs!$F$28*(1-Inputs!$F$29)))</f>
        <v>0</v>
      </c>
      <c r="X15" s="36">
        <f>+MAX(X$14,0)*((Inputs!$F$27*Inputs!$F$29)+(Inputs!$F$28*(1-Inputs!$F$29)))</f>
        <v>0</v>
      </c>
      <c r="Y15" s="36">
        <f>+MAX(Y$14,0)*((Inputs!$F$27*Inputs!$F$29)+(Inputs!$F$28*(1-Inputs!$F$29)))</f>
        <v>0</v>
      </c>
      <c r="Z15" s="36">
        <f>+MAX(Z$14,0)*((Inputs!$F$27*Inputs!$F$29)+(Inputs!$F$28*(1-Inputs!$F$29)))</f>
        <v>0</v>
      </c>
      <c r="AA15" s="36">
        <f>+MAX(AA$14,0)*((Inputs!$F$27*Inputs!$F$29)+(Inputs!$F$28*(1-Inputs!$F$29)))</f>
        <v>0</v>
      </c>
      <c r="AB15" s="36">
        <f>+MAX(AB$14,0)*((Inputs!$F$27*Inputs!$F$29)+(Inputs!$F$28*(1-Inputs!$F$29)))</f>
        <v>0</v>
      </c>
      <c r="AC15" s="36">
        <f>+MAX(AC$14,0)*((Inputs!$F$27*Inputs!$F$29)+(Inputs!$F$28*(1-Inputs!$F$29)))</f>
        <v>0</v>
      </c>
      <c r="AD15" s="36">
        <f>+MAX(AD$14,0)*((Inputs!$F$27*Inputs!$F$29)+(Inputs!$F$28*(1-Inputs!$F$29)))</f>
        <v>0</v>
      </c>
      <c r="AE15" s="36">
        <f>+MAX(AE$14,0)*((Inputs!$F$27*Inputs!$F$29)+(Inputs!$F$28*(1-Inputs!$F$29)))</f>
        <v>0</v>
      </c>
      <c r="AF15" s="36">
        <f>+MAX(AF$14,0)*((Inputs!$F$27*Inputs!$F$29)+(Inputs!$F$28*(1-Inputs!$F$29)))</f>
        <v>0</v>
      </c>
      <c r="AG15" s="36">
        <f>+MAX(AG$14,0)*((Inputs!$F$27*Inputs!$F$29)+(Inputs!$F$28*(1-Inputs!$F$29)))</f>
        <v>0</v>
      </c>
      <c r="AH15" s="36">
        <f>+MAX(AH$14,0)*((Inputs!$F$27*Inputs!$F$29)+(Inputs!$F$28*(1-Inputs!$F$29)))</f>
        <v>0</v>
      </c>
      <c r="AI15" s="36">
        <f>+MAX(AI$14,0)*((Inputs!$F$27*Inputs!$F$29)+(Inputs!$F$28*(1-Inputs!$F$29)))</f>
        <v>0</v>
      </c>
      <c r="AJ15" s="36">
        <f>+MAX(AJ$14,0)*((Inputs!$F$27*Inputs!$F$29)+(Inputs!$F$28*(1-Inputs!$F$29)))</f>
        <v>0</v>
      </c>
      <c r="AK15" s="36">
        <f>+MAX(AK$14,0)*((Inputs!$F$27*Inputs!$F$29)+(Inputs!$F$28*(1-Inputs!$F$29)))</f>
        <v>0</v>
      </c>
      <c r="AL15" s="36">
        <f>+MAX(AL$14,0)*((Inputs!$F$27*Inputs!$F$29)+(Inputs!$F$28*(1-Inputs!$F$29)))</f>
        <v>0</v>
      </c>
      <c r="AM15" s="36">
        <f>+MAX(AM$14,0)*((Inputs!$F$27*Inputs!$F$29)+(Inputs!$F$28*(1-Inputs!$F$29)))</f>
        <v>0</v>
      </c>
      <c r="AN15" s="36">
        <f>+MAX(AN$14,0)*((Inputs!$F$27*Inputs!$F$29)+(Inputs!$F$28*(1-Inputs!$F$29)))</f>
        <v>0</v>
      </c>
      <c r="AO15" s="36">
        <f>+MAX(AO$14,0)*((Inputs!$F$27*Inputs!$F$29)+(Inputs!$F$28*(1-Inputs!$F$29)))</f>
        <v>0</v>
      </c>
      <c r="AP15" s="36">
        <f>+MAX(AP$14,0)*((Inputs!$F$27*Inputs!$F$29)+(Inputs!$F$28*(1-Inputs!$F$29)))</f>
        <v>0</v>
      </c>
      <c r="AQ15" s="36">
        <f>+MAX(AQ$14,0)*((Inputs!$F$27*Inputs!$F$29)+(Inputs!$F$28*(1-Inputs!$F$29)))</f>
        <v>0</v>
      </c>
      <c r="AR15" s="36">
        <f>+MAX(AR$14,0)*((Inputs!$F$27*Inputs!$F$29)+(Inputs!$F$28*(1-Inputs!$F$29)))</f>
        <v>0</v>
      </c>
      <c r="AS15" s="36">
        <f>+MAX(AS$14,0)*((Inputs!$F$27*Inputs!$F$29)+(Inputs!$F$28*(1-Inputs!$F$29)))</f>
        <v>0</v>
      </c>
      <c r="AT15" s="36">
        <f>+MAX(AT$14,0)*((Inputs!$F$27*Inputs!$F$29)+(Inputs!$F$28*(1-Inputs!$F$29)))</f>
        <v>0</v>
      </c>
      <c r="AU15" s="36">
        <f>+MAX(AU$14,0)*((Inputs!$F$27*Inputs!$F$29)+(Inputs!$F$28*(1-Inputs!$F$29)))</f>
        <v>0</v>
      </c>
      <c r="AV15" s="36">
        <f>+MAX(AV$14,0)*((Inputs!$F$27*Inputs!$F$29)+(Inputs!$F$28*(1-Inputs!$F$29)))</f>
        <v>0</v>
      </c>
      <c r="AW15" s="36">
        <f>+MAX(AW$14,0)*((Inputs!$F$27*Inputs!$F$29)+(Inputs!$F$28*(1-Inputs!$F$29)))</f>
        <v>0</v>
      </c>
    </row>
    <row r="16" spans="1:49" x14ac:dyDescent="0.2">
      <c r="A16" s="4" t="s">
        <v>323</v>
      </c>
      <c r="B16" s="2" t="s">
        <v>208</v>
      </c>
      <c r="C16" s="53"/>
      <c r="D16" s="2"/>
      <c r="E16" s="36">
        <f>+IF(Tax!E$14&gt;(Inputs!$E$31/Inputs!$E$32),(Tax!E$14-Inputs!$E$31/Inputs!$E$32)*Inputs!$F$30,0)</f>
        <v>0</v>
      </c>
      <c r="F16" s="36">
        <f>+IF(Tax!F$14&gt;(Inputs!$E$31/Inputs!$E$32),(Tax!F$14-Inputs!$E$31/Inputs!$E$32)*Inputs!$F$30,0)</f>
        <v>0</v>
      </c>
      <c r="G16" s="36">
        <f>+IF(Tax!G$14&gt;(Inputs!$E$31/Inputs!$E$32),(Tax!G$14-Inputs!$E$31/Inputs!$E$32)*Inputs!$F$30,0)</f>
        <v>1017150.8748808714</v>
      </c>
      <c r="H16" s="36">
        <f>+IF(Tax!H$14&gt;(Inputs!$E$31/Inputs!$E$32),(Tax!H$14-Inputs!$E$31/Inputs!$E$32)*Inputs!$F$30,0)</f>
        <v>998674.23488087137</v>
      </c>
      <c r="I16" s="36">
        <f>+IF(Tax!I$14&gt;(Inputs!$E$31/Inputs!$E$32),(Tax!I$14-Inputs!$E$31/Inputs!$E$32)*Inputs!$F$30,0)</f>
        <v>980289.97808087175</v>
      </c>
      <c r="J16" s="36">
        <f>+IF(Tax!J$14&gt;(Inputs!$E$31/Inputs!$E$32),(Tax!J$14-Inputs!$E$31/Inputs!$E$32)*Inputs!$F$30,0)</f>
        <v>961997.64256487135</v>
      </c>
      <c r="K16" s="36">
        <f>+IF(Tax!K$14&gt;(Inputs!$E$31/Inputs!$E$32),(Tax!K$14-Inputs!$E$31/Inputs!$E$32)*Inputs!$F$30,0)</f>
        <v>943796.7687264519</v>
      </c>
      <c r="L16" s="36">
        <f>+IF(Tax!L$14&gt;(Inputs!$E$31/Inputs!$E$32),(Tax!L$14-Inputs!$E$31/Inputs!$E$32)*Inputs!$F$30,0)</f>
        <v>925686.8992572237</v>
      </c>
      <c r="M16" s="36">
        <f>+IF(Tax!M$14&gt;(Inputs!$E$31/Inputs!$E$32),(Tax!M$14-Inputs!$E$31/Inputs!$E$32)*Inputs!$F$30,0)</f>
        <v>907667.57913534238</v>
      </c>
      <c r="N16" s="36">
        <f>+IF(Tax!N$14&gt;(Inputs!$E$31/Inputs!$E$32),(Tax!N$14-Inputs!$E$31/Inputs!$E$32)*Inputs!$F$30,0)</f>
        <v>889738.35561406962</v>
      </c>
      <c r="O16" s="36">
        <f>+IF(Tax!O$14&gt;(Inputs!$E$31/Inputs!$E$32),(Tax!O$14-Inputs!$E$31/Inputs!$E$32)*Inputs!$F$30,0)</f>
        <v>871898.77821040398</v>
      </c>
      <c r="P16" s="36">
        <f>+IF(Tax!P$14&gt;(Inputs!$E$31/Inputs!$E$32),(Tax!P$14-Inputs!$E$31/Inputs!$E$32)*Inputs!$F$30,0)</f>
        <v>854148.39869375585</v>
      </c>
      <c r="Q16" s="36">
        <f>+IF(Tax!Q$14&gt;(Inputs!$E$31/Inputs!$E$32),(Tax!Q$14-Inputs!$E$31/Inputs!$E$32)*Inputs!$F$30,0)</f>
        <v>836486.77107469155</v>
      </c>
      <c r="R16" s="36">
        <f>+IF(Tax!R$14&gt;(Inputs!$E$31/Inputs!$E$32),(Tax!R$14-Inputs!$E$31/Inputs!$E$32)*Inputs!$F$30,0)</f>
        <v>818913.45159372233</v>
      </c>
      <c r="S16" s="36">
        <f>+IF(Tax!S$14&gt;(Inputs!$E$31/Inputs!$E$32),(Tax!S$14-Inputs!$E$31/Inputs!$E$32)*Inputs!$F$30,0)</f>
        <v>801427.99871015805</v>
      </c>
      <c r="T16" s="36">
        <f>+IF(Tax!T$14&gt;(Inputs!$E$31/Inputs!$E$32),(Tax!T$14-Inputs!$E$31/Inputs!$E$32)*Inputs!$F$30,0)</f>
        <v>784029.97309101245</v>
      </c>
      <c r="U16" s="36">
        <f>+IF(Tax!U$14&gt;(Inputs!$E$31/Inputs!$E$32),(Tax!U$14-Inputs!$E$31/Inputs!$E$32)*Inputs!$F$30,0)</f>
        <v>766718.93759996211</v>
      </c>
      <c r="V16" s="36">
        <f>+IF(Tax!V$14&gt;(Inputs!$E$31/Inputs!$E$32),(Tax!V$14-Inputs!$E$31/Inputs!$E$32)*Inputs!$F$30,0)</f>
        <v>749494.45728636615</v>
      </c>
      <c r="W16" s="36">
        <f>+IF(Tax!W$14&gt;(Inputs!$E$31/Inputs!$E$32),(Tax!W$14-Inputs!$E$31/Inputs!$E$32)*Inputs!$F$30,0)</f>
        <v>732356.09937433829</v>
      </c>
      <c r="X16" s="36">
        <f>+IF(Tax!X$14&gt;(Inputs!$E$31/Inputs!$E$32),(Tax!X$14-Inputs!$E$31/Inputs!$E$32)*Inputs!$F$30,0)</f>
        <v>715303.43325187103</v>
      </c>
      <c r="Y16" s="36">
        <f>+IF(Tax!Y$14&gt;(Inputs!$E$31/Inputs!$E$32),(Tax!Y$14-Inputs!$E$31/Inputs!$E$32)*Inputs!$F$30,0)</f>
        <v>698336.03046001552</v>
      </c>
      <c r="Z16" s="36">
        <f>+IF(Tax!Z$14&gt;(Inputs!$E$31/Inputs!$E$32),(Tax!Z$14-Inputs!$E$31/Inputs!$E$32)*Inputs!$F$30,0)</f>
        <v>681453.46468212025</v>
      </c>
      <c r="AA16" s="36">
        <f>+IF(Tax!AA$14&gt;(Inputs!$E$31/Inputs!$E$32),(Tax!AA$14-Inputs!$E$31/Inputs!$E$32)*Inputs!$F$30,0)</f>
        <v>664655.31173311383</v>
      </c>
      <c r="AB16" s="36">
        <f>+IF(Tax!AB$14&gt;(Inputs!$E$31/Inputs!$E$32),(Tax!AB$14-Inputs!$E$31/Inputs!$E$32)*Inputs!$F$30,0)</f>
        <v>647941.14954885305</v>
      </c>
      <c r="AC16" s="36">
        <f>+IF(Tax!AC$14&gt;(Inputs!$E$31/Inputs!$E$32),(Tax!AC$14-Inputs!$E$31/Inputs!$E$32)*Inputs!$F$30,0)</f>
        <v>631310.55817551282</v>
      </c>
      <c r="AD16" s="36">
        <f>+IF(Tax!AD$14&gt;(Inputs!$E$31/Inputs!$E$32),(Tax!AD$14-Inputs!$E$31/Inputs!$E$32)*Inputs!$F$30,0)</f>
        <v>614763.11975903972</v>
      </c>
      <c r="AE16" s="36">
        <f>+IF(Tax!AE$14&gt;(Inputs!$E$31/Inputs!$E$32),(Tax!AE$14-Inputs!$E$31/Inputs!$E$32)*Inputs!$F$30,0)</f>
        <v>598298.41853464954</v>
      </c>
      <c r="AF16" s="36">
        <f>+IF(Tax!AF$14&gt;(Inputs!$E$31/Inputs!$E$32),(Tax!AF$14-Inputs!$E$31/Inputs!$E$32)*Inputs!$F$30,0)</f>
        <v>581916.04081638029</v>
      </c>
      <c r="AG16" s="36">
        <f>+IF(Tax!AG$14&gt;(Inputs!$E$31/Inputs!$E$32),(Tax!AG$14-Inputs!$E$31/Inputs!$E$32)*Inputs!$F$30,0)</f>
        <v>565615.57498670276</v>
      </c>
      <c r="AH16" s="36">
        <f>+IF(Tax!AH$14&gt;(Inputs!$E$31/Inputs!$E$32),(Tax!AH$14-Inputs!$E$31/Inputs!$E$32)*Inputs!$F$30,0)</f>
        <v>549396.61148617347</v>
      </c>
      <c r="AI16" s="36">
        <f>+IF(Tax!AI$14&gt;(Inputs!$E$31/Inputs!$E$32),(Tax!AI$14-Inputs!$E$31/Inputs!$E$32)*Inputs!$F$30,0)</f>
        <v>533258.74280314764</v>
      </c>
      <c r="AJ16" s="36">
        <f>+IF(Tax!AJ$14&gt;(Inputs!$E$31/Inputs!$E$32),(Tax!AJ$14-Inputs!$E$31/Inputs!$E$32)*Inputs!$F$30,0)</f>
        <v>517201.56346353632</v>
      </c>
      <c r="AK16" s="36">
        <f>+IF(Tax!AK$14&gt;(Inputs!$E$31/Inputs!$E$32),(Tax!AK$14-Inputs!$E$31/Inputs!$E$32)*Inputs!$F$30,0)</f>
        <v>0</v>
      </c>
      <c r="AL16" s="36">
        <f>+IF(Tax!AL$14&gt;(Inputs!$E$31/Inputs!$E$32),(Tax!AL$14-Inputs!$E$31/Inputs!$E$32)*Inputs!$F$30,0)</f>
        <v>0</v>
      </c>
      <c r="AM16" s="36">
        <f>+IF(Tax!AM$14&gt;(Inputs!$E$31/Inputs!$E$32),(Tax!AM$14-Inputs!$E$31/Inputs!$E$32)*Inputs!$F$30,0)</f>
        <v>0</v>
      </c>
      <c r="AN16" s="36">
        <f>+IF(Tax!AN$14&gt;(Inputs!$E$31/Inputs!$E$32),(Tax!AN$14-Inputs!$E$31/Inputs!$E$32)*Inputs!$F$30,0)</f>
        <v>0</v>
      </c>
      <c r="AO16" s="36">
        <f>+IF(Tax!AO$14&gt;(Inputs!$E$31/Inputs!$E$32),(Tax!AO$14-Inputs!$E$31/Inputs!$E$32)*Inputs!$F$30,0)</f>
        <v>0</v>
      </c>
      <c r="AP16" s="36">
        <f>+IF(Tax!AP$14&gt;(Inputs!$E$31/Inputs!$E$32),(Tax!AP$14-Inputs!$E$31/Inputs!$E$32)*Inputs!$F$30,0)</f>
        <v>0</v>
      </c>
      <c r="AQ16" s="36">
        <f>+IF(Tax!AQ$14&gt;(Inputs!$E$31/Inputs!$E$32),(Tax!AQ$14-Inputs!$E$31/Inputs!$E$32)*Inputs!$F$30,0)</f>
        <v>0</v>
      </c>
      <c r="AR16" s="36">
        <f>+IF(Tax!AR$14&gt;(Inputs!$E$31/Inputs!$E$32),(Tax!AR$14-Inputs!$E$31/Inputs!$E$32)*Inputs!$F$30,0)</f>
        <v>0</v>
      </c>
      <c r="AS16" s="36">
        <f>+IF(Tax!AS$14&gt;(Inputs!$E$31/Inputs!$E$32),(Tax!AS$14-Inputs!$E$31/Inputs!$E$32)*Inputs!$F$30,0)</f>
        <v>0</v>
      </c>
      <c r="AT16" s="36">
        <f>+IF(Tax!AT$14&gt;(Inputs!$E$31/Inputs!$E$32),(Tax!AT$14-Inputs!$E$31/Inputs!$E$32)*Inputs!$F$30,0)</f>
        <v>0</v>
      </c>
      <c r="AU16" s="36">
        <f>+IF(Tax!AU$14&gt;(Inputs!$E$31/Inputs!$E$32),(Tax!AU$14-Inputs!$E$31/Inputs!$E$32)*Inputs!$F$30,0)</f>
        <v>0</v>
      </c>
      <c r="AV16" s="36">
        <f>+IF(Tax!AV$14&gt;(Inputs!$E$31/Inputs!$E$32),(Tax!AV$14-Inputs!$E$31/Inputs!$E$32)*Inputs!$F$30,0)</f>
        <v>0</v>
      </c>
      <c r="AW16" s="36">
        <f>+IF(Tax!AW$14&gt;(Inputs!$E$31/Inputs!$E$32),(Tax!AW$14-Inputs!$E$31/Inputs!$E$32)*Inputs!$F$30,0)</f>
        <v>0</v>
      </c>
    </row>
    <row r="17" spans="1:49" x14ac:dyDescent="0.2">
      <c r="A17" s="4" t="s">
        <v>237</v>
      </c>
      <c r="B17" s="2" t="s">
        <v>208</v>
      </c>
      <c r="C17" s="53"/>
      <c r="D17" s="2"/>
      <c r="E17" s="36">
        <f>+SUM(E15:E16)</f>
        <v>0</v>
      </c>
      <c r="F17" s="36">
        <f t="shared" ref="F17:AW17" si="1">+SUM(F15:F16)</f>
        <v>0</v>
      </c>
      <c r="G17" s="36">
        <f t="shared" si="1"/>
        <v>1017150.8748808714</v>
      </c>
      <c r="H17" s="36">
        <f t="shared" si="1"/>
        <v>998674.23488087137</v>
      </c>
      <c r="I17" s="36">
        <f>+SUM(I15:I16)</f>
        <v>980289.97808087175</v>
      </c>
      <c r="J17" s="36">
        <f t="shared" si="1"/>
        <v>961997.64256487135</v>
      </c>
      <c r="K17" s="36">
        <f t="shared" si="1"/>
        <v>943796.7687264519</v>
      </c>
      <c r="L17" s="36">
        <f t="shared" si="1"/>
        <v>925686.8992572237</v>
      </c>
      <c r="M17" s="36">
        <f t="shared" si="1"/>
        <v>907667.57913534238</v>
      </c>
      <c r="N17" s="36">
        <f t="shared" si="1"/>
        <v>889738.35561406962</v>
      </c>
      <c r="O17" s="36">
        <f t="shared" si="1"/>
        <v>871898.77821040398</v>
      </c>
      <c r="P17" s="36">
        <f t="shared" si="1"/>
        <v>854148.39869375585</v>
      </c>
      <c r="Q17" s="36">
        <f t="shared" si="1"/>
        <v>836486.77107469155</v>
      </c>
      <c r="R17" s="36">
        <f t="shared" si="1"/>
        <v>818913.45159372233</v>
      </c>
      <c r="S17" s="36">
        <f t="shared" si="1"/>
        <v>801427.99871015805</v>
      </c>
      <c r="T17" s="36">
        <f t="shared" si="1"/>
        <v>784029.97309101245</v>
      </c>
      <c r="U17" s="36">
        <f t="shared" si="1"/>
        <v>766718.93759996211</v>
      </c>
      <c r="V17" s="36">
        <f t="shared" si="1"/>
        <v>749494.45728636615</v>
      </c>
      <c r="W17" s="36">
        <f t="shared" si="1"/>
        <v>732356.09937433829</v>
      </c>
      <c r="X17" s="36">
        <f t="shared" si="1"/>
        <v>715303.43325187103</v>
      </c>
      <c r="Y17" s="36">
        <f t="shared" si="1"/>
        <v>698336.03046001552</v>
      </c>
      <c r="Z17" s="36">
        <f t="shared" si="1"/>
        <v>681453.46468212025</v>
      </c>
      <c r="AA17" s="36">
        <f t="shared" si="1"/>
        <v>664655.31173311383</v>
      </c>
      <c r="AB17" s="36">
        <f t="shared" si="1"/>
        <v>647941.14954885305</v>
      </c>
      <c r="AC17" s="36">
        <f t="shared" si="1"/>
        <v>631310.55817551282</v>
      </c>
      <c r="AD17" s="36">
        <f t="shared" si="1"/>
        <v>614763.11975903972</v>
      </c>
      <c r="AE17" s="36">
        <f t="shared" si="1"/>
        <v>598298.41853464954</v>
      </c>
      <c r="AF17" s="36">
        <f t="shared" si="1"/>
        <v>581916.04081638029</v>
      </c>
      <c r="AG17" s="36">
        <f t="shared" si="1"/>
        <v>565615.57498670276</v>
      </c>
      <c r="AH17" s="36">
        <f t="shared" si="1"/>
        <v>549396.61148617347</v>
      </c>
      <c r="AI17" s="36">
        <f t="shared" si="1"/>
        <v>533258.74280314764</v>
      </c>
      <c r="AJ17" s="36">
        <f t="shared" si="1"/>
        <v>517201.56346353632</v>
      </c>
      <c r="AK17" s="36">
        <f t="shared" si="1"/>
        <v>0</v>
      </c>
      <c r="AL17" s="36">
        <f t="shared" si="1"/>
        <v>0</v>
      </c>
      <c r="AM17" s="36">
        <f t="shared" si="1"/>
        <v>0</v>
      </c>
      <c r="AN17" s="36">
        <f t="shared" si="1"/>
        <v>0</v>
      </c>
      <c r="AO17" s="36">
        <f t="shared" si="1"/>
        <v>0</v>
      </c>
      <c r="AP17" s="36">
        <f t="shared" si="1"/>
        <v>0</v>
      </c>
      <c r="AQ17" s="36">
        <f t="shared" si="1"/>
        <v>0</v>
      </c>
      <c r="AR17" s="36">
        <f t="shared" si="1"/>
        <v>0</v>
      </c>
      <c r="AS17" s="36">
        <f t="shared" si="1"/>
        <v>0</v>
      </c>
      <c r="AT17" s="36">
        <f t="shared" si="1"/>
        <v>0</v>
      </c>
      <c r="AU17" s="36">
        <f t="shared" si="1"/>
        <v>0</v>
      </c>
      <c r="AV17" s="36">
        <f t="shared" si="1"/>
        <v>0</v>
      </c>
      <c r="AW17" s="36">
        <f t="shared" si="1"/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AW15"/>
  <sheetViews>
    <sheetView showGridLines="0" zoomScale="80" zoomScaleNormal="80" workbookViewId="0">
      <pane xSplit="4" ySplit="4" topLeftCell="E5" activePane="bottomRight" state="frozen"/>
      <selection pane="topRight"/>
      <selection pane="bottomLeft"/>
      <selection pane="bottomRight"/>
    </sheetView>
  </sheetViews>
  <sheetFormatPr baseColWidth="10" defaultColWidth="8.83203125" defaultRowHeight="15" x14ac:dyDescent="0.2"/>
  <cols>
    <col min="1" max="1" width="38" customWidth="1"/>
    <col min="2" max="2" width="12" customWidth="1"/>
    <col min="3" max="3" width="15" customWidth="1"/>
    <col min="4" max="4" width="30" customWidth="1"/>
    <col min="5" max="6" width="12.1640625" bestFit="1" customWidth="1"/>
    <col min="7" max="44" width="11" customWidth="1"/>
    <col min="45" max="45" width="3.1640625" bestFit="1" customWidth="1"/>
    <col min="46" max="49" width="11" customWidth="1"/>
  </cols>
  <sheetData>
    <row r="1" spans="1:49" ht="18" x14ac:dyDescent="0.2">
      <c r="A1" s="1" t="s">
        <v>238</v>
      </c>
    </row>
    <row r="2" spans="1:49" x14ac:dyDescent="0.2">
      <c r="A2" s="2" t="s">
        <v>355</v>
      </c>
    </row>
    <row r="4" spans="1:49" x14ac:dyDescent="0.2">
      <c r="A4" s="11" t="s">
        <v>143</v>
      </c>
      <c r="B4" s="11" t="s">
        <v>31</v>
      </c>
      <c r="C4" s="11" t="s">
        <v>144</v>
      </c>
      <c r="D4" s="11" t="s">
        <v>145</v>
      </c>
      <c r="E4" s="11" t="s">
        <v>0</v>
      </c>
      <c r="F4" s="11" t="s">
        <v>1</v>
      </c>
      <c r="G4" s="11" t="s">
        <v>2</v>
      </c>
      <c r="H4" s="11" t="s">
        <v>3</v>
      </c>
      <c r="I4" s="11" t="s">
        <v>146</v>
      </c>
      <c r="J4" s="11" t="s">
        <v>147</v>
      </c>
      <c r="K4" s="11" t="s">
        <v>148</v>
      </c>
      <c r="L4" s="11" t="s">
        <v>149</v>
      </c>
      <c r="M4" s="11" t="s">
        <v>150</v>
      </c>
      <c r="N4" s="11" t="s">
        <v>151</v>
      </c>
      <c r="O4" s="11" t="s">
        <v>152</v>
      </c>
      <c r="P4" s="11" t="s">
        <v>153</v>
      </c>
      <c r="Q4" s="11" t="s">
        <v>154</v>
      </c>
      <c r="R4" s="11" t="s">
        <v>155</v>
      </c>
      <c r="S4" s="11" t="s">
        <v>156</v>
      </c>
      <c r="T4" s="11" t="s">
        <v>157</v>
      </c>
      <c r="U4" s="11" t="s">
        <v>158</v>
      </c>
      <c r="V4" s="11" t="s">
        <v>159</v>
      </c>
      <c r="W4" s="11" t="s">
        <v>160</v>
      </c>
      <c r="X4" s="11" t="s">
        <v>161</v>
      </c>
      <c r="Y4" s="11" t="s">
        <v>162</v>
      </c>
      <c r="Z4" s="11" t="s">
        <v>163</v>
      </c>
      <c r="AA4" s="11" t="s">
        <v>164</v>
      </c>
      <c r="AB4" s="11" t="s">
        <v>165</v>
      </c>
      <c r="AC4" s="11" t="s">
        <v>166</v>
      </c>
      <c r="AD4" s="11" t="s">
        <v>167</v>
      </c>
      <c r="AE4" s="11" t="s">
        <v>168</v>
      </c>
      <c r="AF4" s="11" t="s">
        <v>169</v>
      </c>
      <c r="AG4" s="11" t="s">
        <v>170</v>
      </c>
      <c r="AH4" s="11" t="s">
        <v>171</v>
      </c>
      <c r="AI4" s="11" t="s">
        <v>172</v>
      </c>
      <c r="AJ4" s="11" t="s">
        <v>173</v>
      </c>
      <c r="AK4" s="11" t="s">
        <v>174</v>
      </c>
      <c r="AL4" s="11" t="s">
        <v>175</v>
      </c>
      <c r="AM4" s="11" t="s">
        <v>176</v>
      </c>
      <c r="AN4" s="11" t="s">
        <v>177</v>
      </c>
      <c r="AO4" s="11" t="s">
        <v>178</v>
      </c>
      <c r="AP4" s="11" t="s">
        <v>179</v>
      </c>
      <c r="AQ4" s="11" t="s">
        <v>180</v>
      </c>
      <c r="AR4" s="11" t="s">
        <v>181</v>
      </c>
      <c r="AS4" s="11" t="s">
        <v>182</v>
      </c>
      <c r="AT4" s="11" t="s">
        <v>183</v>
      </c>
      <c r="AU4" s="11" t="s">
        <v>184</v>
      </c>
      <c r="AV4" s="11" t="s">
        <v>185</v>
      </c>
      <c r="AW4" s="11" t="s">
        <v>186</v>
      </c>
    </row>
    <row r="5" spans="1:49" x14ac:dyDescent="0.2">
      <c r="A5" s="12" t="s">
        <v>239</v>
      </c>
      <c r="B5" s="13"/>
      <c r="C5" s="13"/>
      <c r="D5" s="13"/>
      <c r="E5" s="13"/>
      <c r="F5" s="13"/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  <c r="AB5" s="13"/>
      <c r="AC5" s="13"/>
      <c r="AD5" s="13"/>
      <c r="AE5" s="13"/>
      <c r="AF5" s="13"/>
      <c r="AG5" s="13"/>
      <c r="AH5" s="13"/>
      <c r="AI5" s="13"/>
      <c r="AJ5" s="13"/>
      <c r="AK5" s="13"/>
      <c r="AL5" s="13"/>
      <c r="AM5" s="13"/>
      <c r="AN5" s="13"/>
      <c r="AO5" s="13"/>
      <c r="AP5" s="13"/>
      <c r="AQ5" s="13"/>
      <c r="AR5" s="13"/>
      <c r="AS5" s="13"/>
      <c r="AT5" s="13"/>
      <c r="AU5" s="13"/>
      <c r="AV5" s="13"/>
      <c r="AW5" s="13"/>
    </row>
    <row r="6" spans="1:49" x14ac:dyDescent="0.2">
      <c r="A6" s="4" t="s">
        <v>240</v>
      </c>
      <c r="B6" s="2" t="s">
        <v>208</v>
      </c>
      <c r="C6" s="37">
        <f>+SUM(E6:AW6)</f>
        <v>814057426.89714432</v>
      </c>
      <c r="D6" s="2" t="s">
        <v>335</v>
      </c>
      <c r="E6" s="36">
        <f>+Operations!E$12-Tax!E$12</f>
        <v>0</v>
      </c>
      <c r="F6" s="36">
        <f>+Operations!F$12-Tax!F$12</f>
        <v>0</v>
      </c>
      <c r="G6" s="36">
        <f>+Operations!G$12-Tax!G$12</f>
        <v>30059200</v>
      </c>
      <c r="H6" s="36">
        <f>+Operations!H$12-Tax!H$12</f>
        <v>29853904</v>
      </c>
      <c r="I6" s="36">
        <f>+Operations!I$12-Tax!I$12</f>
        <v>29649634.480000004</v>
      </c>
      <c r="J6" s="36">
        <f>+Operations!J$12-Tax!J$12</f>
        <v>29446386.307599999</v>
      </c>
      <c r="K6" s="36">
        <f>+Operations!K$12-Tax!K$12</f>
        <v>29244154.376062006</v>
      </c>
      <c r="L6" s="36">
        <f>+Operations!L$12-Tax!L$12</f>
        <v>29042933.604181692</v>
      </c>
      <c r="M6" s="36">
        <f>+Operations!M$12-Tax!M$12</f>
        <v>28842718.936160788</v>
      </c>
      <c r="N6" s="36">
        <f>+Operations!N$12-Tax!N$12</f>
        <v>28643505.341479979</v>
      </c>
      <c r="O6" s="36">
        <f>+Operations!O$12-Tax!O$12</f>
        <v>28445287.814772584</v>
      </c>
      <c r="P6" s="36">
        <f>+Operations!P$12-Tax!P$12</f>
        <v>28248061.375698715</v>
      </c>
      <c r="Q6" s="36">
        <f>+Operations!Q$12-Tax!Q$12</f>
        <v>28051821.068820223</v>
      </c>
      <c r="R6" s="36">
        <f>+Operations!R$12-Tax!R$12</f>
        <v>27856561.963476121</v>
      </c>
      <c r="S6" s="36">
        <f>+Operations!S$12-Tax!S$12</f>
        <v>27662279.15365874</v>
      </c>
      <c r="T6" s="36">
        <f>+Operations!T$12-Tax!T$12</f>
        <v>27468967.757890455</v>
      </c>
      <c r="U6" s="36">
        <f>+Operations!U$12-Tax!U$12</f>
        <v>27276622.919101007</v>
      </c>
      <c r="V6" s="36">
        <f>+Operations!V$12-Tax!V$12</f>
        <v>27085239.804505497</v>
      </c>
      <c r="W6" s="36">
        <f>+Operations!W$12-Tax!W$12</f>
        <v>26894813.605482966</v>
      </c>
      <c r="X6" s="36">
        <f>+Operations!X$12-Tax!X$12</f>
        <v>26705339.537455551</v>
      </c>
      <c r="Y6" s="36">
        <f>+Operations!Y$12-Tax!Y$12</f>
        <v>26516812.839768268</v>
      </c>
      <c r="Z6" s="36">
        <f>+Operations!Z$12-Tax!Z$12</f>
        <v>26329228.775569431</v>
      </c>
      <c r="AA6" s="36">
        <f>+Operations!AA$12-Tax!AA$12</f>
        <v>26142582.631691583</v>
      </c>
      <c r="AB6" s="36">
        <f>+Operations!AB$12-Tax!AB$12</f>
        <v>25956869.718533128</v>
      </c>
      <c r="AC6" s="36">
        <f>+Operations!AC$12-Tax!AC$12</f>
        <v>25772085.36994046</v>
      </c>
      <c r="AD6" s="36">
        <f>+Operations!AD$12-Tax!AD$12</f>
        <v>25562130.820553578</v>
      </c>
      <c r="AE6" s="36">
        <f>+Operations!AE$12-Tax!AE$12</f>
        <v>25261289.164185565</v>
      </c>
      <c r="AF6" s="36">
        <f>+Operations!AF$12-Tax!AF$12</f>
        <v>24953083.610729504</v>
      </c>
      <c r="AG6" s="36">
        <f>+Operations!AG$12-Tax!AG$12</f>
        <v>24637010.025243282</v>
      </c>
      <c r="AH6" s="36">
        <f>+Operations!AH$12-Tax!AH$12</f>
        <v>24312533.795239408</v>
      </c>
      <c r="AI6" s="36">
        <f>+Operations!AI$12-Tax!AI$12</f>
        <v>24149362.011888813</v>
      </c>
      <c r="AJ6" s="36">
        <f>+Operations!AJ$12-Tax!AJ$12</f>
        <v>23987006.087454963</v>
      </c>
      <c r="AK6" s="36">
        <f>+Operations!AK$12-Tax!AK$12</f>
        <v>0</v>
      </c>
      <c r="AL6" s="36">
        <f>+Operations!AL$12-Tax!AL$12</f>
        <v>0</v>
      </c>
      <c r="AM6" s="36">
        <f>+Operations!AM$12-Tax!AM$12</f>
        <v>0</v>
      </c>
      <c r="AN6" s="36">
        <f>+Operations!AN$12-Tax!AN$12</f>
        <v>0</v>
      </c>
      <c r="AO6" s="36">
        <f>+Operations!AO$12-Tax!AO$12</f>
        <v>0</v>
      </c>
      <c r="AP6" s="36">
        <f>+Operations!AP$12-Tax!AP$12</f>
        <v>0</v>
      </c>
      <c r="AQ6" s="36">
        <f>+Operations!AQ$12-Tax!AQ$12</f>
        <v>0</v>
      </c>
      <c r="AR6" s="36">
        <f>+Operations!AR$12-Tax!AR$12</f>
        <v>0</v>
      </c>
      <c r="AS6" s="36">
        <f>+Operations!AS$12-Tax!AS$12</f>
        <v>0</v>
      </c>
      <c r="AT6" s="36">
        <f>+Operations!AT$12-Tax!AT$12</f>
        <v>0</v>
      </c>
      <c r="AU6" s="36">
        <f>+Operations!AU$12-Tax!AU$12</f>
        <v>0</v>
      </c>
      <c r="AV6" s="36">
        <f>+Operations!AV$12-Tax!AV$12</f>
        <v>0</v>
      </c>
      <c r="AW6" s="36">
        <f>+Operations!AW$12-Tax!AW$12</f>
        <v>0</v>
      </c>
    </row>
    <row r="7" spans="1:49" x14ac:dyDescent="0.2">
      <c r="A7" s="4" t="s">
        <v>241</v>
      </c>
      <c r="B7" s="2" t="s">
        <v>208</v>
      </c>
      <c r="C7" s="37">
        <f>+SUM(E7:AW7)</f>
        <v>837413319.87290502</v>
      </c>
      <c r="D7" s="2" t="s">
        <v>242</v>
      </c>
      <c r="E7" s="38">
        <f>+Debt!E$13</f>
        <v>0</v>
      </c>
      <c r="F7" s="38">
        <f>+Debt!F$13</f>
        <v>0</v>
      </c>
      <c r="G7" s="38">
        <f>+Debt!G$13</f>
        <v>31015308.143440913</v>
      </c>
      <c r="H7" s="38">
        <f>+Debt!H$13</f>
        <v>31015308.143440913</v>
      </c>
      <c r="I7" s="38">
        <f>+Debt!I$13</f>
        <v>31015308.143440913</v>
      </c>
      <c r="J7" s="38">
        <f>+Debt!J$13</f>
        <v>31015308.143440913</v>
      </c>
      <c r="K7" s="38">
        <f>+Debt!K$13</f>
        <v>31015308.143440913</v>
      </c>
      <c r="L7" s="38">
        <f>+Debt!L$13</f>
        <v>31015308.143440913</v>
      </c>
      <c r="M7" s="38">
        <f>+Debt!M$13</f>
        <v>31015308.143440913</v>
      </c>
      <c r="N7" s="38">
        <f>+Debt!N$13</f>
        <v>31015308.143440913</v>
      </c>
      <c r="O7" s="38">
        <f>+Debt!O$13</f>
        <v>31015308.143440913</v>
      </c>
      <c r="P7" s="38">
        <f>+Debt!P$13</f>
        <v>31015308.143440913</v>
      </c>
      <c r="Q7" s="38">
        <f>+Debt!Q$13</f>
        <v>31015308.143440913</v>
      </c>
      <c r="R7" s="38">
        <f>+Debt!R$13</f>
        <v>31015308.143440913</v>
      </c>
      <c r="S7" s="38">
        <f>+Debt!S$13</f>
        <v>31015308.143440913</v>
      </c>
      <c r="T7" s="38">
        <f>+Debt!T$13</f>
        <v>31015308.143440913</v>
      </c>
      <c r="U7" s="38">
        <f>+Debt!U$13</f>
        <v>31015308.143440913</v>
      </c>
      <c r="V7" s="38">
        <f>+Debt!V$13</f>
        <v>31015308.143440913</v>
      </c>
      <c r="W7" s="38">
        <f>+Debt!W$13</f>
        <v>31015308.143440913</v>
      </c>
      <c r="X7" s="38">
        <f>+Debt!X$13</f>
        <v>31015308.143440913</v>
      </c>
      <c r="Y7" s="38">
        <f>+Debt!Y$13</f>
        <v>31015308.143440913</v>
      </c>
      <c r="Z7" s="38">
        <f>+Debt!Z$13</f>
        <v>31015308.143440913</v>
      </c>
      <c r="AA7" s="38">
        <f>+Debt!AA$13</f>
        <v>31015308.143440913</v>
      </c>
      <c r="AB7" s="38">
        <f>+Debt!AB$13</f>
        <v>31015308.143440913</v>
      </c>
      <c r="AC7" s="38">
        <f>+Debt!AC$13</f>
        <v>31015308.143440913</v>
      </c>
      <c r="AD7" s="38">
        <f>+Debt!AD$13</f>
        <v>31015308.143440913</v>
      </c>
      <c r="AE7" s="38">
        <f>+Debt!AE$13</f>
        <v>31015308.143440913</v>
      </c>
      <c r="AF7" s="38">
        <f>+Debt!AF$13</f>
        <v>31015308.143440913</v>
      </c>
      <c r="AG7" s="38">
        <f>+Debt!AG$13</f>
        <v>31015308.143440913</v>
      </c>
      <c r="AH7" s="38">
        <f>+Debt!AH$13</f>
        <v>0</v>
      </c>
      <c r="AI7" s="38">
        <f>+Debt!AI$13</f>
        <v>0</v>
      </c>
      <c r="AJ7" s="38">
        <f>+Debt!AJ$13</f>
        <v>0</v>
      </c>
      <c r="AK7" s="38">
        <f>+Debt!AK$13</f>
        <v>0</v>
      </c>
      <c r="AL7" s="38">
        <f>+Debt!AL$13</f>
        <v>0</v>
      </c>
      <c r="AM7" s="38">
        <f>+Debt!AM$13</f>
        <v>0</v>
      </c>
      <c r="AN7" s="38">
        <f>+Debt!AN$13</f>
        <v>0</v>
      </c>
      <c r="AO7" s="38">
        <f>+Debt!AO$13</f>
        <v>0</v>
      </c>
      <c r="AP7" s="38">
        <f>+Debt!AP$13</f>
        <v>0</v>
      </c>
      <c r="AQ7" s="38">
        <f>+Debt!AQ$13</f>
        <v>0</v>
      </c>
      <c r="AR7" s="38">
        <f>+Debt!AR$13</f>
        <v>0</v>
      </c>
      <c r="AS7" s="38">
        <f>+Debt!AS$13</f>
        <v>0</v>
      </c>
      <c r="AT7" s="38">
        <f>+Debt!AT$13</f>
        <v>0</v>
      </c>
      <c r="AU7" s="38">
        <f>+Debt!AU$13</f>
        <v>0</v>
      </c>
      <c r="AV7" s="38">
        <f>+Debt!AV$13</f>
        <v>0</v>
      </c>
      <c r="AW7" s="38">
        <f>+Debt!AW$13</f>
        <v>0</v>
      </c>
    </row>
    <row r="8" spans="1:49" x14ac:dyDescent="0.2">
      <c r="A8" s="4" t="s">
        <v>243</v>
      </c>
      <c r="B8" s="2" t="s">
        <v>46</v>
      </c>
      <c r="D8" s="2" t="s">
        <v>336</v>
      </c>
      <c r="E8" s="39" t="str">
        <f>+IF(E$7&lt;&gt;0,E$6/E$7,"")</f>
        <v/>
      </c>
      <c r="F8" s="39" t="str">
        <f t="shared" ref="F8:AW8" si="0">+IF(F$7&lt;&gt;0,F$6/F$7,"")</f>
        <v/>
      </c>
      <c r="G8" s="39">
        <f t="shared" si="0"/>
        <v>0.96917302452649945</v>
      </c>
      <c r="H8" s="39">
        <f t="shared" si="0"/>
        <v>0.96255384153948742</v>
      </c>
      <c r="I8" s="39">
        <f t="shared" si="0"/>
        <v>0.95596775446741067</v>
      </c>
      <c r="J8" s="39">
        <f t="shared" si="0"/>
        <v>0.94941459783069382</v>
      </c>
      <c r="K8" s="39">
        <f t="shared" si="0"/>
        <v>0.94289420697716109</v>
      </c>
      <c r="L8" s="39">
        <f t="shared" si="0"/>
        <v>0.9364064180778956</v>
      </c>
      <c r="M8" s="39">
        <f t="shared" si="0"/>
        <v>0.92995106812312678</v>
      </c>
      <c r="N8" s="39">
        <f t="shared" si="0"/>
        <v>0.92352799491813142</v>
      </c>
      <c r="O8" s="39">
        <f t="shared" si="0"/>
        <v>0.91713703707916139</v>
      </c>
      <c r="P8" s="39">
        <f t="shared" si="0"/>
        <v>0.91077803402938584</v>
      </c>
      <c r="Q8" s="39">
        <f t="shared" si="0"/>
        <v>0.90445082599485938</v>
      </c>
      <c r="R8" s="39">
        <f t="shared" si="0"/>
        <v>0.89815525400050555</v>
      </c>
      <c r="S8" s="39">
        <f t="shared" si="0"/>
        <v>0.89189115986612344</v>
      </c>
      <c r="T8" s="39">
        <f t="shared" si="0"/>
        <v>0.88565838620241355</v>
      </c>
      <c r="U8" s="39">
        <f t="shared" si="0"/>
        <v>0.87945677640702213</v>
      </c>
      <c r="V8" s="39">
        <f t="shared" si="0"/>
        <v>0.87328617466060732</v>
      </c>
      <c r="W8" s="39">
        <f t="shared" si="0"/>
        <v>0.86714642592292457</v>
      </c>
      <c r="X8" s="39">
        <f t="shared" si="0"/>
        <v>0.86103737592893048</v>
      </c>
      <c r="Y8" s="39">
        <f t="shared" si="0"/>
        <v>0.8549588711849061</v>
      </c>
      <c r="Z8" s="39">
        <f t="shared" si="0"/>
        <v>0.84891075896460211</v>
      </c>
      <c r="AA8" s="39">
        <f t="shared" si="0"/>
        <v>0.84289288730539957</v>
      </c>
      <c r="AB8" s="39">
        <f t="shared" si="0"/>
        <v>0.83690510500449311</v>
      </c>
      <c r="AC8" s="39">
        <f t="shared" si="0"/>
        <v>0.83094726161509103</v>
      </c>
      <c r="AD8" s="39">
        <f t="shared" si="0"/>
        <v>0.82417787701262712</v>
      </c>
      <c r="AE8" s="39">
        <f t="shared" si="0"/>
        <v>0.81447809731104659</v>
      </c>
      <c r="AF8" s="39">
        <f t="shared" si="0"/>
        <v>0.8045408897865991</v>
      </c>
      <c r="AG8" s="39">
        <f t="shared" si="0"/>
        <v>0.79435000004839518</v>
      </c>
      <c r="AH8" s="39" t="str">
        <f t="shared" si="0"/>
        <v/>
      </c>
      <c r="AI8" s="39" t="str">
        <f t="shared" si="0"/>
        <v/>
      </c>
      <c r="AJ8" s="39" t="str">
        <f t="shared" si="0"/>
        <v/>
      </c>
      <c r="AK8" s="39" t="str">
        <f t="shared" si="0"/>
        <v/>
      </c>
      <c r="AL8" s="39" t="str">
        <f t="shared" si="0"/>
        <v/>
      </c>
      <c r="AM8" s="39" t="str">
        <f t="shared" si="0"/>
        <v/>
      </c>
      <c r="AN8" s="39" t="str">
        <f t="shared" si="0"/>
        <v/>
      </c>
      <c r="AO8" s="39" t="str">
        <f t="shared" si="0"/>
        <v/>
      </c>
      <c r="AP8" s="39" t="str">
        <f t="shared" si="0"/>
        <v/>
      </c>
      <c r="AQ8" s="39" t="str">
        <f t="shared" si="0"/>
        <v/>
      </c>
      <c r="AR8" s="39" t="str">
        <f t="shared" si="0"/>
        <v/>
      </c>
      <c r="AS8" s="39" t="str">
        <f t="shared" si="0"/>
        <v/>
      </c>
      <c r="AT8" s="39" t="str">
        <f t="shared" si="0"/>
        <v/>
      </c>
      <c r="AU8" s="39" t="str">
        <f t="shared" si="0"/>
        <v/>
      </c>
      <c r="AV8" s="39" t="str">
        <f t="shared" si="0"/>
        <v/>
      </c>
      <c r="AW8" s="39" t="str">
        <f t="shared" si="0"/>
        <v/>
      </c>
    </row>
    <row r="9" spans="1:49" x14ac:dyDescent="0.2">
      <c r="A9" s="12" t="s">
        <v>244</v>
      </c>
      <c r="B9" s="13"/>
      <c r="C9" s="13"/>
      <c r="D9" s="13"/>
      <c r="E9" s="13"/>
      <c r="F9" s="13"/>
      <c r="G9" s="13"/>
      <c r="H9" s="13"/>
      <c r="I9" s="13"/>
      <c r="J9" s="13"/>
      <c r="K9" s="13"/>
      <c r="L9" s="13"/>
      <c r="M9" s="13"/>
      <c r="N9" s="13"/>
      <c r="O9" s="13"/>
      <c r="P9" s="13"/>
      <c r="Q9" s="13"/>
      <c r="R9" s="13"/>
      <c r="S9" s="13"/>
      <c r="T9" s="13"/>
      <c r="U9" s="13"/>
      <c r="V9" s="13"/>
      <c r="W9" s="13"/>
      <c r="X9" s="13"/>
      <c r="Y9" s="13"/>
      <c r="Z9" s="13"/>
      <c r="AA9" s="13"/>
      <c r="AB9" s="13"/>
      <c r="AC9" s="13"/>
      <c r="AD9" s="13"/>
      <c r="AE9" s="13"/>
      <c r="AF9" s="13"/>
      <c r="AG9" s="13"/>
      <c r="AH9" s="13"/>
      <c r="AI9" s="13"/>
      <c r="AJ9" s="13"/>
      <c r="AK9" s="13"/>
      <c r="AL9" s="13"/>
      <c r="AM9" s="13"/>
      <c r="AN9" s="13"/>
      <c r="AO9" s="13"/>
      <c r="AP9" s="13"/>
      <c r="AQ9" s="13"/>
      <c r="AR9" s="13"/>
      <c r="AS9" s="13"/>
      <c r="AT9" s="13"/>
      <c r="AU9" s="13"/>
      <c r="AV9" s="13"/>
      <c r="AW9" s="13"/>
    </row>
    <row r="10" spans="1:49" x14ac:dyDescent="0.2">
      <c r="A10" s="4" t="s">
        <v>245</v>
      </c>
      <c r="B10" s="2" t="s">
        <v>208</v>
      </c>
      <c r="C10" s="37">
        <f>+SUM(E10:AW10)</f>
        <v>-177355892.97576028</v>
      </c>
      <c r="D10" s="70" t="s">
        <v>337</v>
      </c>
      <c r="E10" s="36">
        <f>-Debt!E$8+CashFlow!E$6-CashFlow!E$7</f>
        <v>-61600000</v>
      </c>
      <c r="F10" s="36">
        <f>-Debt!F$8+CashFlow!F$6-CashFlow!F$7</f>
        <v>-92400000</v>
      </c>
      <c r="G10" s="36">
        <f>-Debt!G$8+CashFlow!G$6-CashFlow!G$7</f>
        <v>-956108.14344091341</v>
      </c>
      <c r="H10" s="36">
        <f>-Debt!H$8+CashFlow!H$6-CashFlow!H$7</f>
        <v>-1161404.1434409134</v>
      </c>
      <c r="I10" s="36">
        <f>-Debt!I$8+CashFlow!I$6-CashFlow!I$7</f>
        <v>-1365673.6634409092</v>
      </c>
      <c r="J10" s="36">
        <f>-Debt!J$8+CashFlow!J$6-CashFlow!J$7</f>
        <v>-1568921.8358409144</v>
      </c>
      <c r="K10" s="36">
        <f>-Debt!K$8+CashFlow!K$6-CashFlow!K$7</f>
        <v>-1771153.7673789077</v>
      </c>
      <c r="L10" s="36">
        <f>-Debt!L$8+CashFlow!L$6-CashFlow!L$7</f>
        <v>-1972374.5392592214</v>
      </c>
      <c r="M10" s="36">
        <f>-Debt!M$8+CashFlow!M$6-CashFlow!M$7</f>
        <v>-2172589.2072801255</v>
      </c>
      <c r="N10" s="36">
        <f>-Debt!N$8+CashFlow!N$6-CashFlow!N$7</f>
        <v>-2371802.801960934</v>
      </c>
      <c r="O10" s="36">
        <f>-Debt!O$8+CashFlow!O$6-CashFlow!O$7</f>
        <v>-2570020.3286683299</v>
      </c>
      <c r="P10" s="36">
        <f>-Debt!P$8+CashFlow!P$6-CashFlow!P$7</f>
        <v>-2767246.767742198</v>
      </c>
      <c r="Q10" s="36">
        <f>-Debt!Q$8+CashFlow!Q$6-CashFlow!Q$7</f>
        <v>-2963487.0746206902</v>
      </c>
      <c r="R10" s="36">
        <f>-Debt!R$8+CashFlow!R$6-CashFlow!R$7</f>
        <v>-3158746.179964792</v>
      </c>
      <c r="S10" s="36">
        <f>-Debt!S$8+CashFlow!S$6-CashFlow!S$7</f>
        <v>-3353028.9897821732</v>
      </c>
      <c r="T10" s="36">
        <f>-Debt!T$8+CashFlow!T$6-CashFlow!T$7</f>
        <v>-3546340.385550458</v>
      </c>
      <c r="U10" s="36">
        <f>-Debt!U$8+CashFlow!U$6-CashFlow!U$7</f>
        <v>-3738685.2243399061</v>
      </c>
      <c r="V10" s="36">
        <f>-Debt!V$8+CashFlow!V$6-CashFlow!V$7</f>
        <v>-3930068.3389354162</v>
      </c>
      <c r="W10" s="36">
        <f>-Debt!W$8+CashFlow!W$6-CashFlow!W$7</f>
        <v>-4120494.5379579477</v>
      </c>
      <c r="X10" s="36">
        <f>-Debt!X$8+CashFlow!X$6-CashFlow!X$7</f>
        <v>-4309968.6059853621</v>
      </c>
      <c r="Y10" s="36">
        <f>-Debt!Y$8+CashFlow!Y$6-CashFlow!Y$7</f>
        <v>-4498495.3036726452</v>
      </c>
      <c r="Z10" s="36">
        <f>-Debt!Z$8+CashFlow!Z$6-CashFlow!Z$7</f>
        <v>-4686079.3678714819</v>
      </c>
      <c r="AA10" s="36">
        <f>-Debt!AA$8+CashFlow!AA$6-CashFlow!AA$7</f>
        <v>-4872725.5117493309</v>
      </c>
      <c r="AB10" s="36">
        <f>-Debt!AB$8+CashFlow!AB$6-CashFlow!AB$7</f>
        <v>-5058438.4249077849</v>
      </c>
      <c r="AC10" s="36">
        <f>-Debt!AC$8+CashFlow!AC$6-CashFlow!AC$7</f>
        <v>-5243222.7735004537</v>
      </c>
      <c r="AD10" s="36">
        <f>-Debt!AD$8+CashFlow!AD$6-CashFlow!AD$7</f>
        <v>-5453177.322887335</v>
      </c>
      <c r="AE10" s="36">
        <f>-Debt!AE$8+CashFlow!AE$6-CashFlow!AE$7</f>
        <v>-5754018.9792553484</v>
      </c>
      <c r="AF10" s="36">
        <f>-Debt!AF$8+CashFlow!AF$6-CashFlow!AF$7</f>
        <v>-6062224.532711409</v>
      </c>
      <c r="AG10" s="36">
        <f>-Debt!AG$8+CashFlow!AG$6-CashFlow!AG$7</f>
        <v>-6378298.1181976311</v>
      </c>
      <c r="AH10" s="36">
        <f>-Debt!AH$8+CashFlow!AH$6-CashFlow!AH$7</f>
        <v>24312533.795239408</v>
      </c>
      <c r="AI10" s="36">
        <f>-Debt!AI$8+CashFlow!AI$6-CashFlow!AI$7</f>
        <v>24149362.011888813</v>
      </c>
      <c r="AJ10" s="36">
        <f>-Debt!AJ$8+CashFlow!AJ$6-CashFlow!AJ$7</f>
        <v>23987006.087454963</v>
      </c>
      <c r="AK10" s="36">
        <f>-Debt!AK$8+CashFlow!AK$6-CashFlow!AK$7</f>
        <v>0</v>
      </c>
      <c r="AL10" s="36">
        <f>-Debt!AL$8+CashFlow!AL$6-CashFlow!AL$7</f>
        <v>0</v>
      </c>
      <c r="AM10" s="36">
        <f>-Debt!AM$8+CashFlow!AM$6-CashFlow!AM$7</f>
        <v>0</v>
      </c>
      <c r="AN10" s="36">
        <f>-Debt!AN$8+CashFlow!AN$6-CashFlow!AN$7</f>
        <v>0</v>
      </c>
      <c r="AO10" s="36">
        <f>-Debt!AO$8+CashFlow!AO$6-CashFlow!AO$7</f>
        <v>0</v>
      </c>
      <c r="AP10" s="36">
        <f>-Debt!AP$8+CashFlow!AP$6-CashFlow!AP$7</f>
        <v>0</v>
      </c>
      <c r="AQ10" s="36">
        <f>-Debt!AQ$8+CashFlow!AQ$6-CashFlow!AQ$7</f>
        <v>0</v>
      </c>
      <c r="AR10" s="36">
        <f>-Debt!AR$8+CashFlow!AR$6-CashFlow!AR$7</f>
        <v>0</v>
      </c>
      <c r="AS10" s="36">
        <f>-Debt!AS$8+CashFlow!AS$6-CashFlow!AS$7</f>
        <v>0</v>
      </c>
      <c r="AT10" s="36">
        <f>-Debt!AT$8+CashFlow!AT$6-CashFlow!AT$7</f>
        <v>0</v>
      </c>
      <c r="AU10" s="36">
        <f>-Debt!AU$8+CashFlow!AU$6-CashFlow!AU$7</f>
        <v>0</v>
      </c>
      <c r="AV10" s="36">
        <f>-Debt!AV$8+CashFlow!AV$6-CashFlow!AV$7</f>
        <v>0</v>
      </c>
      <c r="AW10" s="36">
        <f>-Debt!AW$8+CashFlow!AW$6-CashFlow!AW$7</f>
        <v>0</v>
      </c>
    </row>
    <row r="11" spans="1:49" x14ac:dyDescent="0.2">
      <c r="A11" s="4" t="s">
        <v>246</v>
      </c>
      <c r="B11" s="2" t="s">
        <v>208</v>
      </c>
      <c r="C11" s="37">
        <f>+SUM(E11:AW11)</f>
        <v>243662750.24874568</v>
      </c>
      <c r="D11" s="70" t="s">
        <v>338</v>
      </c>
      <c r="E11" s="36">
        <f>-Debt!E$6+Operations!E$12-Tax!E$17</f>
        <v>-220000000</v>
      </c>
      <c r="F11" s="36">
        <f>-Debt!F$6+Operations!F$12-Tax!F$17</f>
        <v>-330000000</v>
      </c>
      <c r="G11" s="36">
        <f>-Debt!G$6+Operations!G$12-Tax!G$17</f>
        <v>29042049.125119127</v>
      </c>
      <c r="H11" s="36">
        <f>-Debt!H$6+Operations!H$12-Tax!H$17</f>
        <v>28855229.765119128</v>
      </c>
      <c r="I11" s="36">
        <f>-Debt!I$6+Operations!I$12-Tax!I$17</f>
        <v>28669344.501919132</v>
      </c>
      <c r="J11" s="36">
        <f>-Debt!J$6+Operations!J$12-Tax!J$17</f>
        <v>28484388.665035129</v>
      </c>
      <c r="K11" s="36">
        <f>-Debt!K$6+Operations!K$12-Tax!K$17</f>
        <v>28300357.607335553</v>
      </c>
      <c r="L11" s="36">
        <f>-Debt!L$6+Operations!L$12-Tax!L$17</f>
        <v>28117246.704924468</v>
      </c>
      <c r="M11" s="36">
        <f>-Debt!M$6+Operations!M$12-Tax!M$17</f>
        <v>27935051.357025445</v>
      </c>
      <c r="N11" s="36">
        <f>-Debt!N$6+Operations!N$12-Tax!N$17</f>
        <v>27753766.98586591</v>
      </c>
      <c r="O11" s="36">
        <f>-Debt!O$6+Operations!O$12-Tax!O$17</f>
        <v>27573389.036562178</v>
      </c>
      <c r="P11" s="36">
        <f>-Debt!P$6+Operations!P$12-Tax!P$17</f>
        <v>27393912.97700496</v>
      </c>
      <c r="Q11" s="36">
        <f>-Debt!Q$6+Operations!Q$12-Tax!Q$17</f>
        <v>27215334.297745533</v>
      </c>
      <c r="R11" s="36">
        <f>-Debt!R$6+Operations!R$12-Tax!R$17</f>
        <v>27037648.511882398</v>
      </c>
      <c r="S11" s="36">
        <f>-Debt!S$6+Operations!S$12-Tax!S$17</f>
        <v>26860851.154948581</v>
      </c>
      <c r="T11" s="36">
        <f>-Debt!T$6+Operations!T$12-Tax!T$17</f>
        <v>26684937.784799442</v>
      </c>
      <c r="U11" s="36">
        <f>-Debt!U$6+Operations!U$12-Tax!U$17</f>
        <v>26509903.981501047</v>
      </c>
      <c r="V11" s="36">
        <f>-Debt!V$6+Operations!V$12-Tax!V$17</f>
        <v>26335745.347219132</v>
      </c>
      <c r="W11" s="36">
        <f>-Debt!W$6+Operations!W$12-Tax!W$17</f>
        <v>26162457.506108627</v>
      </c>
      <c r="X11" s="36">
        <f>-Debt!X$6+Operations!X$12-Tax!X$17</f>
        <v>25990036.104203679</v>
      </c>
      <c r="Y11" s="36">
        <f>-Debt!Y$6+Operations!Y$12-Tax!Y$17</f>
        <v>25818476.809308253</v>
      </c>
      <c r="Z11" s="36">
        <f>-Debt!Z$6+Operations!Z$12-Tax!Z$17</f>
        <v>25647775.310887311</v>
      </c>
      <c r="AA11" s="36">
        <f>-Debt!AA$6+Operations!AA$12-Tax!AA$17</f>
        <v>25477927.319958467</v>
      </c>
      <c r="AB11" s="36">
        <f>-Debt!AB$6+Operations!AB$12-Tax!AB$17</f>
        <v>25308928.568984274</v>
      </c>
      <c r="AC11" s="36">
        <f>-Debt!AC$6+Operations!AC$12-Tax!AC$17</f>
        <v>25140774.811764948</v>
      </c>
      <c r="AD11" s="36">
        <f>-Debt!AD$6+Operations!AD$12-Tax!AD$17</f>
        <v>24973461.823331721</v>
      </c>
      <c r="AE11" s="36">
        <f>-Debt!AE$6+Operations!AE$12-Tax!AE$17</f>
        <v>24806985.39984066</v>
      </c>
      <c r="AF11" s="36">
        <f>-Debt!AF$6+Operations!AF$12-Tax!AF$17</f>
        <v>24641341.35846705</v>
      </c>
      <c r="AG11" s="36">
        <f>-Debt!AG$6+Operations!AG$12-Tax!AG$17</f>
        <v>24476525.537300311</v>
      </c>
      <c r="AH11" s="36">
        <f>-Debt!AH$6+Operations!AH$12-Tax!AH$17</f>
        <v>24312533.795239404</v>
      </c>
      <c r="AI11" s="36">
        <f>-Debt!AI$6+Operations!AI$12-Tax!AI$17</f>
        <v>24149362.01188881</v>
      </c>
      <c r="AJ11" s="36">
        <f>-Debt!AJ$6+Operations!AJ$12-Tax!AJ$17</f>
        <v>23987006.087454963</v>
      </c>
      <c r="AK11" s="36">
        <f>-Debt!AK$6+Operations!AK$12-Tax!AK$17</f>
        <v>0</v>
      </c>
      <c r="AL11" s="36">
        <f>-Debt!AL$6+Operations!AL$12-Tax!AL$17</f>
        <v>0</v>
      </c>
      <c r="AM11" s="36">
        <f>-Debt!AM$6+Operations!AM$12-Tax!AM$17</f>
        <v>0</v>
      </c>
      <c r="AN11" s="36">
        <f>-Debt!AN$6+Operations!AN$12-Tax!AN$17</f>
        <v>0</v>
      </c>
      <c r="AO11" s="36">
        <f>-Debt!AO$6+Operations!AO$12-Tax!AO$17</f>
        <v>0</v>
      </c>
      <c r="AP11" s="36">
        <f>-Debt!AP$6+Operations!AP$12-Tax!AP$17</f>
        <v>0</v>
      </c>
      <c r="AQ11" s="36">
        <f>-Debt!AQ$6+Operations!AQ$12-Tax!AQ$17</f>
        <v>0</v>
      </c>
      <c r="AR11" s="36">
        <f>-Debt!AR$6+Operations!AR$12-Tax!AR$17</f>
        <v>0</v>
      </c>
      <c r="AS11" s="36">
        <f>-Debt!AS$6+Operations!AS$12-Tax!AS$17</f>
        <v>0</v>
      </c>
      <c r="AT11" s="36">
        <f>-Debt!AT$6+Operations!AT$12-Tax!AT$17</f>
        <v>0</v>
      </c>
      <c r="AU11" s="36">
        <f>-Debt!AU$6+Operations!AU$12-Tax!AU$17</f>
        <v>0</v>
      </c>
      <c r="AV11" s="36">
        <f>-Debt!AV$6+Operations!AV$12-Tax!AV$17</f>
        <v>0</v>
      </c>
      <c r="AW11" s="36">
        <f>-Debt!AW$6+Operations!AW$12-Tax!AW$17</f>
        <v>0</v>
      </c>
    </row>
    <row r="12" spans="1:49" x14ac:dyDescent="0.2">
      <c r="A12" s="12" t="s">
        <v>247</v>
      </c>
      <c r="B12" s="13"/>
      <c r="C12" s="13"/>
      <c r="D12" s="13"/>
      <c r="E12" s="13"/>
      <c r="F12" s="13"/>
      <c r="G12" s="13"/>
      <c r="H12" s="13"/>
      <c r="I12" s="13"/>
      <c r="J12" s="13"/>
      <c r="K12" s="13"/>
      <c r="L12" s="13"/>
      <c r="M12" s="13"/>
      <c r="N12" s="13"/>
      <c r="O12" s="13"/>
      <c r="P12" s="13"/>
      <c r="Q12" s="13"/>
      <c r="R12" s="13"/>
      <c r="S12" s="13"/>
      <c r="T12" s="13"/>
      <c r="U12" s="13"/>
      <c r="V12" s="13"/>
      <c r="W12" s="13"/>
      <c r="X12" s="13"/>
      <c r="Y12" s="13"/>
      <c r="Z12" s="13"/>
      <c r="AA12" s="13"/>
      <c r="AB12" s="13"/>
      <c r="AC12" s="13"/>
      <c r="AD12" s="13"/>
      <c r="AE12" s="13"/>
      <c r="AF12" s="13"/>
      <c r="AG12" s="13"/>
      <c r="AH12" s="13"/>
      <c r="AI12" s="13"/>
      <c r="AJ12" s="13"/>
      <c r="AK12" s="13"/>
      <c r="AL12" s="13"/>
      <c r="AM12" s="13"/>
      <c r="AN12" s="13"/>
      <c r="AO12" s="13"/>
      <c r="AP12" s="13"/>
      <c r="AQ12" s="13"/>
      <c r="AR12" s="13"/>
      <c r="AS12" s="13"/>
      <c r="AT12" s="13"/>
      <c r="AU12" s="13"/>
      <c r="AV12" s="13"/>
      <c r="AW12" s="13"/>
    </row>
    <row r="13" spans="1:49" x14ac:dyDescent="0.2">
      <c r="A13" s="4" t="s">
        <v>248</v>
      </c>
      <c r="B13" s="2" t="s">
        <v>208</v>
      </c>
      <c r="C13" s="37">
        <f>+SUM(E13:AW13)</f>
        <v>490210924.82422936</v>
      </c>
      <c r="D13" s="2" t="s">
        <v>249</v>
      </c>
      <c r="E13" s="36">
        <f>+Debt!E$6*Timeline!E$11</f>
        <v>204651162.79069766</v>
      </c>
      <c r="F13" s="36">
        <f>+Debt!F$6*Timeline!F$11</f>
        <v>285559762.03353167</v>
      </c>
      <c r="G13" s="36">
        <f>+Debt!G$6*Timeline!G$11</f>
        <v>0</v>
      </c>
      <c r="H13" s="36">
        <f>+Debt!H$6*Timeline!H$11</f>
        <v>0</v>
      </c>
      <c r="I13" s="36">
        <f>+Debt!I$6*Timeline!I$11</f>
        <v>0</v>
      </c>
      <c r="J13" s="36">
        <f>+Debt!J$6*Timeline!J$11</f>
        <v>0</v>
      </c>
      <c r="K13" s="36">
        <f>+Debt!K$6*Timeline!K$11</f>
        <v>0</v>
      </c>
      <c r="L13" s="36">
        <f>+Debt!L$6*Timeline!L$11</f>
        <v>0</v>
      </c>
      <c r="M13" s="36">
        <f>+Debt!M$6*Timeline!M$11</f>
        <v>0</v>
      </c>
      <c r="N13" s="36">
        <f>+Debt!N$6*Timeline!N$11</f>
        <v>0</v>
      </c>
      <c r="O13" s="36">
        <f>+Debt!O$6*Timeline!O$11</f>
        <v>0</v>
      </c>
      <c r="P13" s="36">
        <f>+Debt!P$6*Timeline!P$11</f>
        <v>0</v>
      </c>
      <c r="Q13" s="36">
        <f>+Debt!Q$6*Timeline!Q$11</f>
        <v>0</v>
      </c>
      <c r="R13" s="36">
        <f>+Debt!R$6*Timeline!R$11</f>
        <v>0</v>
      </c>
      <c r="S13" s="36">
        <f>+Debt!S$6*Timeline!S$11</f>
        <v>0</v>
      </c>
      <c r="T13" s="36">
        <f>+Debt!T$6*Timeline!T$11</f>
        <v>0</v>
      </c>
      <c r="U13" s="36">
        <f>+Debt!U$6*Timeline!U$11</f>
        <v>0</v>
      </c>
      <c r="V13" s="36">
        <f>+Debt!V$6*Timeline!V$11</f>
        <v>0</v>
      </c>
      <c r="W13" s="36">
        <f>+Debt!W$6*Timeline!W$11</f>
        <v>0</v>
      </c>
      <c r="X13" s="36">
        <f>+Debt!X$6*Timeline!X$11</f>
        <v>0</v>
      </c>
      <c r="Y13" s="36">
        <f>+Debt!Y$6*Timeline!Y$11</f>
        <v>0</v>
      </c>
      <c r="Z13" s="36">
        <f>+Debt!Z$6*Timeline!Z$11</f>
        <v>0</v>
      </c>
      <c r="AA13" s="36">
        <f>+Debt!AA$6*Timeline!AA$11</f>
        <v>0</v>
      </c>
      <c r="AB13" s="36">
        <f>+Debt!AB$6*Timeline!AB$11</f>
        <v>0</v>
      </c>
      <c r="AC13" s="36">
        <f>+Debt!AC$6*Timeline!AC$11</f>
        <v>0</v>
      </c>
      <c r="AD13" s="36">
        <f>+Debt!AD$6*Timeline!AD$11</f>
        <v>0</v>
      </c>
      <c r="AE13" s="36">
        <f>+Debt!AE$6*Timeline!AE$11</f>
        <v>0</v>
      </c>
      <c r="AF13" s="36">
        <f>+Debt!AF$6*Timeline!AF$11</f>
        <v>0</v>
      </c>
      <c r="AG13" s="36">
        <f>+Debt!AG$6*Timeline!AG$11</f>
        <v>0</v>
      </c>
      <c r="AH13" s="36">
        <f>+Debt!AH$6*Timeline!AH$11</f>
        <v>0</v>
      </c>
      <c r="AI13" s="36">
        <f>+Debt!AI$6*Timeline!AI$11</f>
        <v>0</v>
      </c>
      <c r="AJ13" s="36">
        <f>+Debt!AJ$6*Timeline!AJ$11</f>
        <v>0</v>
      </c>
      <c r="AK13" s="36">
        <f>+Debt!AK$6*Timeline!AK$11</f>
        <v>0</v>
      </c>
      <c r="AL13" s="36">
        <f>+Debt!AL$6*Timeline!AL$11</f>
        <v>0</v>
      </c>
      <c r="AM13" s="36">
        <f>+Debt!AM$6*Timeline!AM$11</f>
        <v>0</v>
      </c>
      <c r="AN13" s="36">
        <f>+Debt!AN$6*Timeline!AN$11</f>
        <v>0</v>
      </c>
      <c r="AO13" s="36">
        <f>+Debt!AO$6*Timeline!AO$11</f>
        <v>0</v>
      </c>
      <c r="AP13" s="36">
        <f>+Debt!AP$6*Timeline!AP$11</f>
        <v>0</v>
      </c>
      <c r="AQ13" s="36">
        <f>+Debt!AQ$6*Timeline!AQ$11</f>
        <v>0</v>
      </c>
      <c r="AR13" s="36">
        <f>+Debt!AR$6*Timeline!AR$11</f>
        <v>0</v>
      </c>
      <c r="AS13" s="36">
        <f>+Debt!AS$6*Timeline!AS$11</f>
        <v>0</v>
      </c>
      <c r="AT13" s="36">
        <f>+Debt!AT$6*Timeline!AT$11</f>
        <v>0</v>
      </c>
      <c r="AU13" s="36">
        <f>+Debt!AU$6*Timeline!AU$11</f>
        <v>0</v>
      </c>
      <c r="AV13" s="36">
        <f>+Debt!AV$6*Timeline!AV$11</f>
        <v>0</v>
      </c>
      <c r="AW13" s="36">
        <f>+Debt!AW$6*Timeline!AW$11</f>
        <v>0</v>
      </c>
    </row>
    <row r="14" spans="1:49" x14ac:dyDescent="0.2">
      <c r="A14" s="4" t="s">
        <v>250</v>
      </c>
      <c r="B14" s="2" t="s">
        <v>208</v>
      </c>
      <c r="C14" s="37">
        <f>+SUM(E14:AW14)</f>
        <v>112419036.38412419</v>
      </c>
      <c r="D14" s="2" t="s">
        <v>251</v>
      </c>
      <c r="E14" s="36">
        <f>+Operations!E$11*Timeline!E$11</f>
        <v>0</v>
      </c>
      <c r="F14" s="36">
        <f>+Operations!F$11*Timeline!F$11</f>
        <v>0</v>
      </c>
      <c r="G14" s="36">
        <f>+Operations!G$11*Timeline!G$11</f>
        <v>8854566.2646056339</v>
      </c>
      <c r="H14" s="36">
        <f>+Operations!H$11*Timeline!H$11</f>
        <v>8236805.8275401238</v>
      </c>
      <c r="I14" s="36">
        <f>+Operations!I$11*Timeline!I$11</f>
        <v>7662144.9558512783</v>
      </c>
      <c r="J14" s="36">
        <f>+Operations!J$11*Timeline!J$11</f>
        <v>7127576.7031174684</v>
      </c>
      <c r="K14" s="36">
        <f>+Operations!K$11*Timeline!K$11</f>
        <v>6630303.9098767154</v>
      </c>
      <c r="L14" s="36">
        <f>+Operations!L$11*Timeline!L$11</f>
        <v>6167724.5673271762</v>
      </c>
      <c r="M14" s="36">
        <f>+Operations!M$11*Timeline!M$11</f>
        <v>5737418.2021648157</v>
      </c>
      <c r="N14" s="36">
        <f>+Operations!N$11*Timeline!N$11</f>
        <v>5337133.2113161087</v>
      </c>
      <c r="O14" s="36">
        <f>+Operations!O$11*Timeline!O$11</f>
        <v>4964775.080294054</v>
      </c>
      <c r="P14" s="36">
        <f>+Operations!P$11*Timeline!P$11</f>
        <v>4618395.4235293521</v>
      </c>
      <c r="Q14" s="36">
        <f>+Operations!Q$11*Timeline!Q$11</f>
        <v>4296181.7893296303</v>
      </c>
      <c r="R14" s="36">
        <f>+Operations!R$11*Timeline!R$11</f>
        <v>3996448.1761205862</v>
      </c>
      <c r="S14" s="36">
        <f>+Operations!S$11*Timeline!S$11</f>
        <v>3717626.2103447318</v>
      </c>
      <c r="T14" s="36">
        <f>+Operations!T$11*Timeline!T$11</f>
        <v>3458256.9398555644</v>
      </c>
      <c r="U14" s="36">
        <f>+Operations!U$11*Timeline!U$11</f>
        <v>3216983.1998656415</v>
      </c>
      <c r="V14" s="36">
        <f>+Operations!V$11*Timeline!V$11</f>
        <v>2992542.511502923</v>
      </c>
      <c r="W14" s="36">
        <f>+Operations!W$11*Timeline!W$11</f>
        <v>2783760.4758166717</v>
      </c>
      <c r="X14" s="36">
        <f>+Operations!X$11*Timeline!X$11</f>
        <v>2589544.6286666719</v>
      </c>
      <c r="Y14" s="36">
        <f>+Operations!Y$11*Timeline!Y$11</f>
        <v>2408878.7243410898</v>
      </c>
      <c r="Z14" s="36">
        <f>+Operations!Z$11*Timeline!Z$11</f>
        <v>2240817.4179917118</v>
      </c>
      <c r="AA14" s="36">
        <f>+Operations!AA$11*Timeline!AA$11</f>
        <v>2084481.3190620572</v>
      </c>
      <c r="AB14" s="36">
        <f>+Operations!AB$11*Timeline!AB$11</f>
        <v>1939052.3898251699</v>
      </c>
      <c r="AC14" s="36">
        <f>+Operations!AC$11*Timeline!AC$11</f>
        <v>1803769.6649536463</v>
      </c>
      <c r="AD14" s="36">
        <f>+Operations!AD$11*Timeline!AD$11</f>
        <v>1677925.2697243225</v>
      </c>
      <c r="AE14" s="36">
        <f>+Operations!AE$11*Timeline!AE$11</f>
        <v>1560860.7160226256</v>
      </c>
      <c r="AF14" s="36">
        <f>+Operations!AF$11*Timeline!AF$11</f>
        <v>1451963.4567652331</v>
      </c>
      <c r="AG14" s="36">
        <f>+Operations!AG$11*Timeline!AG$11</f>
        <v>1350663.6807118445</v>
      </c>
      <c r="AH14" s="36">
        <f>+Operations!AH$11*Timeline!AH$11</f>
        <v>1256431.3308947391</v>
      </c>
      <c r="AI14" s="36">
        <f>+Operations!AI$11*Timeline!AI$11</f>
        <v>1168773.3310648736</v>
      </c>
      <c r="AJ14" s="36">
        <f>+Operations!AJ$11*Timeline!AJ$11</f>
        <v>1087231.0056417431</v>
      </c>
      <c r="AK14" s="36">
        <f>+Operations!AK$11*Timeline!AK$11</f>
        <v>0</v>
      </c>
      <c r="AL14" s="36">
        <f>+Operations!AL$11*Timeline!AL$11</f>
        <v>0</v>
      </c>
      <c r="AM14" s="36">
        <f>+Operations!AM$11*Timeline!AM$11</f>
        <v>0</v>
      </c>
      <c r="AN14" s="36">
        <f>+Operations!AN$11*Timeline!AN$11</f>
        <v>0</v>
      </c>
      <c r="AO14" s="36">
        <f>+Operations!AO$11*Timeline!AO$11</f>
        <v>0</v>
      </c>
      <c r="AP14" s="36">
        <f>+Operations!AP$11*Timeline!AP$11</f>
        <v>0</v>
      </c>
      <c r="AQ14" s="36">
        <f>+Operations!AQ$11*Timeline!AQ$11</f>
        <v>0</v>
      </c>
      <c r="AR14" s="36">
        <f>+Operations!AR$11*Timeline!AR$11</f>
        <v>0</v>
      </c>
      <c r="AS14" s="36">
        <f>+Operations!AS$11*Timeline!AS$11</f>
        <v>0</v>
      </c>
      <c r="AT14" s="36">
        <f>+Operations!AT$11*Timeline!AT$11</f>
        <v>0</v>
      </c>
      <c r="AU14" s="36">
        <f>+Operations!AU$11*Timeline!AU$11</f>
        <v>0</v>
      </c>
      <c r="AV14" s="36">
        <f>+Operations!AV$11*Timeline!AV$11</f>
        <v>0</v>
      </c>
      <c r="AW14" s="36">
        <f>+Operations!AW$11*Timeline!AW$11</f>
        <v>0</v>
      </c>
    </row>
    <row r="15" spans="1:49" x14ac:dyDescent="0.2">
      <c r="A15" s="4" t="s">
        <v>252</v>
      </c>
      <c r="B15" s="2" t="s">
        <v>205</v>
      </c>
      <c r="C15" s="37">
        <f>+SUM(E15:AW15)</f>
        <v>28402663.096203711</v>
      </c>
      <c r="D15" s="2" t="s">
        <v>253</v>
      </c>
      <c r="E15" s="36">
        <f>+Operations!E$7*Timeline!E$11</f>
        <v>0</v>
      </c>
      <c r="F15" s="36">
        <f>+Operations!F$7*Timeline!F$11</f>
        <v>0</v>
      </c>
      <c r="G15" s="36">
        <f>+Operations!G$7*Timeline!G$11</f>
        <v>2344045.1784119639</v>
      </c>
      <c r="H15" s="36">
        <f>+Operations!H$7*Timeline!H$11</f>
        <v>2169604.6069952599</v>
      </c>
      <c r="I15" s="36">
        <f>+Operations!I$7*Timeline!I$11</f>
        <v>2008145.6594979381</v>
      </c>
      <c r="J15" s="36">
        <f>+Operations!J$7*Timeline!J$11</f>
        <v>1858702.2615818125</v>
      </c>
      <c r="K15" s="36">
        <f>+Operations!K$7*Timeline!K$11</f>
        <v>1720380.2328129339</v>
      </c>
      <c r="L15" s="36">
        <f>+Operations!L$7*Timeline!L$11</f>
        <v>1592351.9364175524</v>
      </c>
      <c r="M15" s="36">
        <f>+Operations!M$7*Timeline!M$11</f>
        <v>1473851.3271957813</v>
      </c>
      <c r="N15" s="36">
        <f>+Operations!N$7*Timeline!N$11</f>
        <v>1364169.3679626069</v>
      </c>
      <c r="O15" s="36">
        <f>+Operations!O$7*Timeline!O$11</f>
        <v>1262649.7870909711</v>
      </c>
      <c r="P15" s="36">
        <f>+Operations!P$7*Timeline!P$11</f>
        <v>1168685.1517725731</v>
      </c>
      <c r="Q15" s="36">
        <f>+Operations!Q$7*Timeline!Q$11</f>
        <v>1081713.2335011258</v>
      </c>
      <c r="R15" s="36">
        <f>+Operations!R$7*Timeline!R$11</f>
        <v>1001213.6440312746</v>
      </c>
      <c r="S15" s="36">
        <f>+Operations!S$7*Timeline!S$11</f>
        <v>926704.72168476123</v>
      </c>
      <c r="T15" s="36">
        <f>+Operations!T$7*Timeline!T$11</f>
        <v>857740.64937333728</v>
      </c>
      <c r="U15" s="36">
        <f>+Operations!U$7*Timeline!U$11</f>
        <v>793908.78709439142</v>
      </c>
      <c r="V15" s="36">
        <f>+Operations!V$7*Timeline!V$11</f>
        <v>734827.20293852978</v>
      </c>
      <c r="W15" s="36">
        <f>+Operations!W$7*Timeline!W$11</f>
        <v>680142.38783612731</v>
      </c>
      <c r="X15" s="36">
        <f>+Operations!X$7*Timeline!X$11</f>
        <v>629527.14036925288</v>
      </c>
      <c r="Y15" s="36">
        <f>+Operations!Y$7*Timeline!Y$11</f>
        <v>582678.60899293632</v>
      </c>
      <c r="Z15" s="36">
        <f>+Operations!Z$7*Timeline!Z$11</f>
        <v>539316.47995160148</v>
      </c>
      <c r="AA15" s="36">
        <f>+Operations!AA$7*Timeline!AA$11</f>
        <v>499181.30004822655</v>
      </c>
      <c r="AB15" s="36">
        <f>+Operations!AB$7*Timeline!AB$11</f>
        <v>462032.92423068418</v>
      </c>
      <c r="AC15" s="36">
        <f>+Operations!AC$7*Timeline!AC$11</f>
        <v>427649.07870654023</v>
      </c>
      <c r="AD15" s="36">
        <f>+Operations!AD$7*Timeline!AD$11</f>
        <v>395824.03098884423</v>
      </c>
      <c r="AE15" s="36">
        <f>+Operations!AE$7*Timeline!AE$11</f>
        <v>366367.35891525587</v>
      </c>
      <c r="AF15" s="36">
        <f>+Operations!AF$7*Timeline!AF$11</f>
        <v>339102.8112750508</v>
      </c>
      <c r="AG15" s="36">
        <f>+Operations!AG$7*Timeline!AG$11</f>
        <v>313867.25322667486</v>
      </c>
      <c r="AH15" s="36">
        <f>+Operations!AH$7*Timeline!AH$11</f>
        <v>290509.69019585254</v>
      </c>
      <c r="AI15" s="36">
        <f>+Operations!AI$7*Timeline!AI$11</f>
        <v>268890.36441383569</v>
      </c>
      <c r="AJ15" s="36">
        <f>+Operations!AJ$7*Timeline!AJ$11</f>
        <v>248879.91869001539</v>
      </c>
      <c r="AK15" s="36">
        <f>+Operations!AK$7*Timeline!AK$11</f>
        <v>0</v>
      </c>
      <c r="AL15" s="36">
        <f>+Operations!AL$7*Timeline!AL$11</f>
        <v>0</v>
      </c>
      <c r="AM15" s="36">
        <f>+Operations!AM$7*Timeline!AM$11</f>
        <v>0</v>
      </c>
      <c r="AN15" s="36">
        <f>+Operations!AN$7*Timeline!AN$11</f>
        <v>0</v>
      </c>
      <c r="AO15" s="36">
        <f>+Operations!AO$7*Timeline!AO$11</f>
        <v>0</v>
      </c>
      <c r="AP15" s="36">
        <f>+Operations!AP$7*Timeline!AP$11</f>
        <v>0</v>
      </c>
      <c r="AQ15" s="36">
        <f>+Operations!AQ$7*Timeline!AQ$11</f>
        <v>0</v>
      </c>
      <c r="AR15" s="36">
        <f>+Operations!AR$7*Timeline!AR$11</f>
        <v>0</v>
      </c>
      <c r="AS15" s="36">
        <f>+Operations!AS$7*Timeline!AS$11</f>
        <v>0</v>
      </c>
      <c r="AT15" s="36">
        <f>+Operations!AT$7*Timeline!AT$11</f>
        <v>0</v>
      </c>
      <c r="AU15" s="36">
        <f>+Operations!AU$7*Timeline!AU$11</f>
        <v>0</v>
      </c>
      <c r="AV15" s="36">
        <f>+Operations!AV$7*Timeline!AV$11</f>
        <v>0</v>
      </c>
      <c r="AW15" s="36">
        <f>+Operations!AW$7*Timeline!AW$11</f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I55"/>
  <sheetViews>
    <sheetView showGridLines="0" tabSelected="1" topLeftCell="A17" zoomScale="80" zoomScaleNormal="80" workbookViewId="0">
      <selection activeCell="E47" sqref="E47"/>
    </sheetView>
  </sheetViews>
  <sheetFormatPr baseColWidth="10" defaultColWidth="8.83203125" defaultRowHeight="15" x14ac:dyDescent="0.2"/>
  <cols>
    <col min="1" max="1" width="42" customWidth="1"/>
    <col min="2" max="4" width="16" customWidth="1"/>
    <col min="5" max="5" width="70" customWidth="1"/>
    <col min="6" max="6" width="20.1640625" customWidth="1"/>
    <col min="7" max="7" width="16.6640625" customWidth="1"/>
    <col min="8" max="9" width="18.33203125" bestFit="1" customWidth="1"/>
  </cols>
  <sheetData>
    <row r="1" spans="1:7" ht="18" x14ac:dyDescent="0.2">
      <c r="A1" s="1" t="s">
        <v>254</v>
      </c>
    </row>
    <row r="2" spans="1:7" x14ac:dyDescent="0.2">
      <c r="A2" s="2" t="s">
        <v>333</v>
      </c>
    </row>
    <row r="4" spans="1:7" x14ac:dyDescent="0.2">
      <c r="A4" s="11" t="s">
        <v>255</v>
      </c>
      <c r="B4" s="11" t="s">
        <v>31</v>
      </c>
      <c r="C4" s="11" t="s">
        <v>256</v>
      </c>
      <c r="D4" s="11" t="s">
        <v>256</v>
      </c>
      <c r="E4" s="11" t="s">
        <v>334</v>
      </c>
      <c r="F4" s="11"/>
    </row>
    <row r="5" spans="1:7" x14ac:dyDescent="0.2">
      <c r="A5" s="12" t="s">
        <v>257</v>
      </c>
      <c r="B5" s="13"/>
      <c r="C5" s="13"/>
      <c r="D5" s="13"/>
      <c r="E5" s="13"/>
      <c r="F5" s="13"/>
    </row>
    <row r="6" spans="1:7" x14ac:dyDescent="0.2">
      <c r="A6" s="4" t="s">
        <v>258</v>
      </c>
      <c r="B6" s="2"/>
      <c r="C6" s="45" t="str">
        <f>+Inputs!$D$4</f>
        <v>UAE</v>
      </c>
      <c r="D6" s="47"/>
      <c r="E6" s="2" t="s">
        <v>259</v>
      </c>
      <c r="F6" s="2"/>
    </row>
    <row r="7" spans="1:7" x14ac:dyDescent="0.2">
      <c r="A7" s="4" t="s">
        <v>260</v>
      </c>
      <c r="B7" s="2" t="s">
        <v>207</v>
      </c>
      <c r="C7" s="40">
        <f>+(CashFlow!C$13+CashFlow!C$14)/CashFlow!C$15</f>
        <v>21.217375256931483</v>
      </c>
      <c r="D7" s="48"/>
      <c r="E7" s="2" t="s">
        <v>261</v>
      </c>
      <c r="F7" s="2"/>
    </row>
    <row r="8" spans="1:7" x14ac:dyDescent="0.2">
      <c r="A8" s="4" t="s">
        <v>260</v>
      </c>
      <c r="B8" s="2" t="s">
        <v>83</v>
      </c>
      <c r="C8" s="41">
        <f>+$C$7/10</f>
        <v>2.1217375256931481</v>
      </c>
      <c r="D8" s="49"/>
      <c r="E8" s="2" t="s">
        <v>262</v>
      </c>
      <c r="F8" s="2"/>
    </row>
    <row r="9" spans="1:7" x14ac:dyDescent="0.2">
      <c r="A9" s="4" t="s">
        <v>81</v>
      </c>
      <c r="B9" s="2" t="s">
        <v>83</v>
      </c>
      <c r="C9" s="46">
        <f>+Inputs!$F$20</f>
        <v>1.41</v>
      </c>
      <c r="D9" s="50"/>
      <c r="E9" s="2" t="s">
        <v>263</v>
      </c>
      <c r="F9" s="2"/>
    </row>
    <row r="10" spans="1:7" x14ac:dyDescent="0.2">
      <c r="A10" s="4" t="s">
        <v>264</v>
      </c>
      <c r="B10" s="2" t="s">
        <v>83</v>
      </c>
      <c r="C10" s="42">
        <f>+C9-C8</f>
        <v>-0.71173752569314819</v>
      </c>
      <c r="D10" s="51"/>
      <c r="E10" s="2" t="s">
        <v>265</v>
      </c>
      <c r="F10" s="2"/>
    </row>
    <row r="11" spans="1:7" x14ac:dyDescent="0.2">
      <c r="A11" s="4" t="s">
        <v>266</v>
      </c>
      <c r="B11" s="2" t="s">
        <v>91</v>
      </c>
      <c r="C11" s="43">
        <f>+IRR(CashFlow!$E$11:$AW$11)</f>
        <v>2.5665850259720013E-2</v>
      </c>
      <c r="D11" s="52"/>
      <c r="E11" s="2" t="s">
        <v>267</v>
      </c>
      <c r="F11" s="2"/>
    </row>
    <row r="12" spans="1:7" x14ac:dyDescent="0.2">
      <c r="A12" s="4" t="s">
        <v>268</v>
      </c>
      <c r="B12" s="2" t="s">
        <v>91</v>
      </c>
      <c r="C12" s="43">
        <f>+IRR(CashFlow!$E$10:$AW$10)</f>
        <v>-6.2835797002924298E-2</v>
      </c>
      <c r="D12" s="52"/>
      <c r="E12" s="2" t="s">
        <v>269</v>
      </c>
      <c r="F12" s="2"/>
      <c r="G12" s="57"/>
    </row>
    <row r="13" spans="1:7" x14ac:dyDescent="0.2">
      <c r="A13" s="4" t="s">
        <v>270</v>
      </c>
      <c r="B13" s="2" t="s">
        <v>208</v>
      </c>
      <c r="C13" s="37">
        <f>+NPV(Inputs!$F$34,CashFlow!$E$11:$AW$11)</f>
        <v>-210824655.41442773</v>
      </c>
      <c r="D13" s="53"/>
      <c r="E13" s="2" t="s">
        <v>271</v>
      </c>
      <c r="F13" s="2"/>
    </row>
    <row r="14" spans="1:7" x14ac:dyDescent="0.2">
      <c r="A14" s="4" t="s">
        <v>272</v>
      </c>
      <c r="B14" s="2" t="s">
        <v>46</v>
      </c>
      <c r="C14" s="44">
        <f>+MIN(CashFlow!$E$8:$AW$8)</f>
        <v>0.79435000004839518</v>
      </c>
      <c r="D14" s="54"/>
      <c r="E14" s="2" t="s">
        <v>273</v>
      </c>
      <c r="F14" s="2"/>
    </row>
    <row r="15" spans="1:7" x14ac:dyDescent="0.2">
      <c r="A15" s="4" t="s">
        <v>274</v>
      </c>
      <c r="B15" s="2" t="s">
        <v>46</v>
      </c>
      <c r="C15" s="44">
        <f>+AVERAGE(CashFlow!$E$8:$AW$8)</f>
        <v>0.88559437425131482</v>
      </c>
      <c r="D15" s="54"/>
      <c r="E15" s="2" t="s">
        <v>275</v>
      </c>
      <c r="F15" s="2"/>
    </row>
    <row r="16" spans="1:7" x14ac:dyDescent="0.2">
      <c r="A16" s="12" t="s">
        <v>276</v>
      </c>
      <c r="B16" s="13"/>
      <c r="C16" s="13"/>
      <c r="D16" s="13"/>
      <c r="E16" s="13"/>
      <c r="F16" s="13"/>
    </row>
    <row r="17" spans="1:9" x14ac:dyDescent="0.2">
      <c r="A17" s="4" t="s">
        <v>277</v>
      </c>
      <c r="B17" s="2" t="s">
        <v>208</v>
      </c>
      <c r="C17" s="37">
        <f>+SUM(Debt!$E$6:$AW$6)</f>
        <v>550000000</v>
      </c>
      <c r="D17" s="53"/>
      <c r="E17" s="2"/>
      <c r="F17" s="2"/>
    </row>
    <row r="18" spans="1:9" x14ac:dyDescent="0.2">
      <c r="A18" s="4" t="s">
        <v>278</v>
      </c>
      <c r="B18" s="2" t="s">
        <v>208</v>
      </c>
      <c r="C18" s="37">
        <f>+SUM(Debt!$E$9:$AW$9)</f>
        <v>9662400</v>
      </c>
      <c r="D18" s="53"/>
      <c r="E18" s="2"/>
      <c r="F18" s="2"/>
    </row>
    <row r="19" spans="1:9" x14ac:dyDescent="0.2">
      <c r="A19" s="4" t="s">
        <v>279</v>
      </c>
      <c r="B19" s="2" t="s">
        <v>208</v>
      </c>
      <c r="C19" s="37">
        <f>+SUM(Debt!$E$7:$AW$7)+SUM(Debt!$E$9:$AW$9)</f>
        <v>405662400</v>
      </c>
      <c r="D19" s="53"/>
      <c r="E19" s="2"/>
      <c r="F19" s="2"/>
    </row>
    <row r="20" spans="1:9" x14ac:dyDescent="0.2">
      <c r="A20" s="4" t="s">
        <v>280</v>
      </c>
      <c r="B20" s="2" t="s">
        <v>208</v>
      </c>
      <c r="C20" s="37">
        <f>+SUM(Debt!$E$8:$AW$8)</f>
        <v>154000000</v>
      </c>
      <c r="D20" s="53"/>
      <c r="E20" s="2"/>
      <c r="F20" s="2"/>
    </row>
    <row r="21" spans="1:9" x14ac:dyDescent="0.2">
      <c r="A21" s="4" t="s">
        <v>281</v>
      </c>
      <c r="B21" s="2" t="s">
        <v>91</v>
      </c>
      <c r="C21" s="43">
        <f>+C19/(C17+C18)</f>
        <v>0.72483411428032329</v>
      </c>
      <c r="D21" s="52"/>
      <c r="E21" s="2" t="s">
        <v>282</v>
      </c>
      <c r="F21" s="2"/>
    </row>
    <row r="22" spans="1:9" x14ac:dyDescent="0.2">
      <c r="A22" s="4" t="s">
        <v>283</v>
      </c>
      <c r="B22" s="2" t="s">
        <v>205</v>
      </c>
      <c r="C22" s="33">
        <f>+Operations!$G$7</f>
        <v>2912000</v>
      </c>
      <c r="D22" s="55"/>
      <c r="E22" s="2"/>
      <c r="F22" s="2"/>
    </row>
    <row r="23" spans="1:9" x14ac:dyDescent="0.2">
      <c r="A23" s="4" t="s">
        <v>284</v>
      </c>
      <c r="B23" s="2" t="s">
        <v>91</v>
      </c>
      <c r="C23" s="43">
        <f>+C22/(Inputs!$F$8*8760)</f>
        <v>0.33242009132420092</v>
      </c>
      <c r="D23" s="52"/>
      <c r="E23" s="2" t="s">
        <v>285</v>
      </c>
      <c r="F23" s="2"/>
    </row>
    <row r="24" spans="1:9" x14ac:dyDescent="0.2">
      <c r="A24" s="12" t="s">
        <v>286</v>
      </c>
      <c r="B24" s="13"/>
      <c r="C24" s="13"/>
      <c r="D24" s="13"/>
      <c r="E24" s="13"/>
      <c r="F24" s="13"/>
    </row>
    <row r="25" spans="1:9" x14ac:dyDescent="0.2">
      <c r="A25" s="4" t="s">
        <v>258</v>
      </c>
      <c r="B25" s="56"/>
      <c r="C25" s="60" t="s">
        <v>27</v>
      </c>
      <c r="D25" s="60" t="s">
        <v>32</v>
      </c>
      <c r="E25" s="56"/>
      <c r="F25" s="56"/>
    </row>
    <row r="26" spans="1:9" x14ac:dyDescent="0.2">
      <c r="A26" s="4" t="s">
        <v>287</v>
      </c>
      <c r="B26" s="56" t="s">
        <v>83</v>
      </c>
      <c r="C26" s="60">
        <v>1.8125863</v>
      </c>
      <c r="D26" s="60">
        <v>2.0082624216586469</v>
      </c>
      <c r="E26" s="56" t="s">
        <v>288</v>
      </c>
      <c r="F26" s="56"/>
      <c r="H26" s="57"/>
      <c r="I26" s="57"/>
    </row>
    <row r="27" spans="1:9" x14ac:dyDescent="0.2">
      <c r="A27" s="4" t="s">
        <v>289</v>
      </c>
      <c r="B27" s="2" t="s">
        <v>83</v>
      </c>
      <c r="C27" s="60">
        <v>1.8023758999999999</v>
      </c>
      <c r="D27" s="60">
        <v>1.9508722725965244</v>
      </c>
      <c r="E27" s="2" t="s">
        <v>290</v>
      </c>
      <c r="F27" s="2"/>
      <c r="G27" s="39"/>
      <c r="H27" s="59"/>
      <c r="I27" s="59"/>
    </row>
    <row r="28" spans="1:9" x14ac:dyDescent="0.2">
      <c r="A28" s="4" t="s">
        <v>291</v>
      </c>
      <c r="B28" s="2" t="s">
        <v>91</v>
      </c>
      <c r="C28" s="61">
        <v>3.3356750999999997E-2</v>
      </c>
      <c r="D28" s="61">
        <v>2.7898531000000001E-2</v>
      </c>
      <c r="E28" s="2" t="s">
        <v>292</v>
      </c>
      <c r="F28" s="2"/>
      <c r="G28" s="58"/>
    </row>
    <row r="29" spans="1:9" x14ac:dyDescent="0.2">
      <c r="A29" s="12" t="s">
        <v>293</v>
      </c>
      <c r="B29" s="13"/>
      <c r="C29" s="13"/>
      <c r="D29" s="13"/>
      <c r="E29" s="13"/>
      <c r="F29" s="13"/>
    </row>
    <row r="30" spans="1:9" x14ac:dyDescent="0.2">
      <c r="A30" s="4" t="s">
        <v>258</v>
      </c>
      <c r="B30" s="56"/>
      <c r="C30" s="60" t="s">
        <v>27</v>
      </c>
      <c r="D30" s="60" t="s">
        <v>32</v>
      </c>
      <c r="E30" s="56"/>
      <c r="F30" s="56"/>
    </row>
    <row r="31" spans="1:9" x14ac:dyDescent="0.2">
      <c r="A31" s="4" t="s">
        <v>294</v>
      </c>
      <c r="B31" s="2" t="s">
        <v>83</v>
      </c>
      <c r="C31" s="60">
        <v>1.9439165972589101</v>
      </c>
      <c r="D31" s="60">
        <v>2.1217375256931481</v>
      </c>
      <c r="E31" s="2"/>
      <c r="F31" s="2"/>
    </row>
    <row r="32" spans="1:9" x14ac:dyDescent="0.2">
      <c r="A32" s="4" t="s">
        <v>295</v>
      </c>
      <c r="B32" s="2" t="s">
        <v>83</v>
      </c>
      <c r="C32" s="60">
        <v>2.0593584551216142</v>
      </c>
      <c r="D32" s="60">
        <v>2.2415071209332971</v>
      </c>
      <c r="E32" s="2"/>
      <c r="F32" s="2"/>
    </row>
    <row r="33" spans="1:9" x14ac:dyDescent="0.2">
      <c r="A33" s="4" t="s">
        <v>296</v>
      </c>
      <c r="B33" s="2" t="s">
        <v>83</v>
      </c>
      <c r="C33" s="60">
        <v>2.1604266100803198</v>
      </c>
      <c r="D33" s="60">
        <v>2.3465607025941186</v>
      </c>
      <c r="E33" s="2"/>
      <c r="F33" s="2"/>
    </row>
    <row r="35" spans="1:9" x14ac:dyDescent="0.2">
      <c r="A35" s="12" t="s">
        <v>297</v>
      </c>
      <c r="B35" s="13"/>
      <c r="C35" s="13"/>
      <c r="D35" s="13"/>
      <c r="E35" s="13"/>
      <c r="F35" s="13"/>
      <c r="G35" s="13"/>
      <c r="H35" s="13"/>
      <c r="I35" s="13"/>
    </row>
    <row r="36" spans="1:9" x14ac:dyDescent="0.2">
      <c r="A36" s="64" t="s">
        <v>27</v>
      </c>
      <c r="B36" s="63"/>
      <c r="C36" s="63"/>
      <c r="D36" s="63"/>
      <c r="E36" s="63"/>
      <c r="F36" s="63"/>
      <c r="G36" s="63"/>
      <c r="H36" s="63"/>
      <c r="I36" s="63"/>
    </row>
    <row r="37" spans="1:9" ht="28" x14ac:dyDescent="0.2">
      <c r="A37" s="62" t="s">
        <v>298</v>
      </c>
      <c r="B37" s="11" t="s">
        <v>299</v>
      </c>
      <c r="C37" s="11" t="s">
        <v>300</v>
      </c>
      <c r="D37" s="11" t="s">
        <v>324</v>
      </c>
      <c r="E37" s="11" t="s">
        <v>325</v>
      </c>
      <c r="F37" s="11" t="s">
        <v>329</v>
      </c>
      <c r="G37" s="11" t="s">
        <v>326</v>
      </c>
      <c r="H37" s="11" t="s">
        <v>327</v>
      </c>
      <c r="I37" s="11" t="s">
        <v>328</v>
      </c>
    </row>
    <row r="38" spans="1:9" x14ac:dyDescent="0.2">
      <c r="A38" s="4" t="s">
        <v>72</v>
      </c>
      <c r="B38" s="65">
        <f>+Inputs!$G$17</f>
        <v>450</v>
      </c>
      <c r="C38" s="65">
        <f>+Inputs!$H$17</f>
        <v>725</v>
      </c>
      <c r="D38" s="60">
        <v>1.6573117757595419</v>
      </c>
      <c r="E38" s="60">
        <v>2.4454750348828052</v>
      </c>
      <c r="F38" s="41">
        <f>+ABS(E38-D38)</f>
        <v>0.78816325912326324</v>
      </c>
      <c r="G38" s="61">
        <v>1.7896662041801514E-2</v>
      </c>
      <c r="H38" s="61">
        <v>-8.7324027843073138E-2</v>
      </c>
      <c r="I38" s="43">
        <f>+ABS(H38-G38)</f>
        <v>0.10522068988487465</v>
      </c>
    </row>
    <row r="39" spans="1:9" x14ac:dyDescent="0.2">
      <c r="A39" s="4" t="s">
        <v>301</v>
      </c>
      <c r="B39" s="66">
        <f>+Inputs!$G$34</f>
        <v>0.06</v>
      </c>
      <c r="C39" s="66">
        <f>+Inputs!$D$34+Inputs!$D$40/10000</f>
        <v>0.09</v>
      </c>
      <c r="D39" s="60">
        <v>1.6761241078344831</v>
      </c>
      <c r="E39" s="60">
        <v>2.1604266100803198</v>
      </c>
      <c r="F39" s="41">
        <f t="shared" ref="F39:F45" si="0">+ABS(E39-D39)</f>
        <v>0.48430250224583671</v>
      </c>
      <c r="G39" s="61">
        <v>-3.0084704428530951E-2</v>
      </c>
      <c r="H39" s="61">
        <v>-3.0084704428530951E-2</v>
      </c>
      <c r="I39" s="43">
        <f t="shared" ref="I39:I45" si="1">+ABS(H39-G39)</f>
        <v>0</v>
      </c>
    </row>
    <row r="40" spans="1:9" x14ac:dyDescent="0.2">
      <c r="A40" s="4" t="s">
        <v>302</v>
      </c>
      <c r="B40" s="45">
        <f>+Inputs!$D$10*0.9</f>
        <v>2178</v>
      </c>
      <c r="C40" s="45">
        <f>+Inputs!$D$10*1.1</f>
        <v>2662</v>
      </c>
      <c r="D40" s="60">
        <v>2.1599073302876781</v>
      </c>
      <c r="E40" s="60">
        <v>1.7671969065990094</v>
      </c>
      <c r="F40" s="41">
        <f t="shared" si="0"/>
        <v>0.39271042368866871</v>
      </c>
      <c r="G40" s="61">
        <v>-6.3160621290967445E-2</v>
      </c>
      <c r="H40" s="61">
        <v>8.0891604445465504E-4</v>
      </c>
      <c r="I40" s="43">
        <f t="shared" si="1"/>
        <v>6.39695373354221E-2</v>
      </c>
    </row>
    <row r="41" spans="1:9" x14ac:dyDescent="0.2">
      <c r="A41" s="4" t="s">
        <v>303</v>
      </c>
      <c r="B41" s="67">
        <f>+Inputs!$G$25</f>
        <v>0.05</v>
      </c>
      <c r="C41" s="67">
        <f>+Inputs!$H$25</f>
        <v>7.4999999999999997E-2</v>
      </c>
      <c r="D41" s="60">
        <v>1.9439165972589101</v>
      </c>
      <c r="E41" s="60">
        <v>1.9439165972589101</v>
      </c>
      <c r="F41" s="41">
        <f t="shared" si="0"/>
        <v>0</v>
      </c>
      <c r="G41" s="61">
        <v>-4.8067712552417596E-3</v>
      </c>
      <c r="H41" s="61">
        <v>-6.12644185372484E-2</v>
      </c>
      <c r="I41" s="43">
        <f t="shared" si="1"/>
        <v>5.645764728200664E-2</v>
      </c>
    </row>
    <row r="42" spans="1:9" x14ac:dyDescent="0.2">
      <c r="A42" s="4" t="s">
        <v>76</v>
      </c>
      <c r="B42" s="65">
        <f>+Inputs!$G$18</f>
        <v>9</v>
      </c>
      <c r="C42" s="65">
        <f>+Inputs!$H$18</f>
        <v>27</v>
      </c>
      <c r="D42" s="60">
        <v>1.8770820374384769</v>
      </c>
      <c r="E42" s="60">
        <v>2.4785930758223773</v>
      </c>
      <c r="F42" s="41">
        <f t="shared" si="0"/>
        <v>0.60151103838390041</v>
      </c>
      <c r="G42" s="61">
        <v>-1.3346572125772171E-2</v>
      </c>
      <c r="H42" s="61">
        <v>-0.22969169290209257</v>
      </c>
      <c r="I42" s="43">
        <f t="shared" si="1"/>
        <v>0.2163451207763204</v>
      </c>
    </row>
    <row r="43" spans="1:9" x14ac:dyDescent="0.2">
      <c r="A43" s="4" t="s">
        <v>304</v>
      </c>
      <c r="B43" s="45">
        <f>+Inputs!$G$23</f>
        <v>0.65</v>
      </c>
      <c r="C43" s="45">
        <f>+Inputs!$H$23</f>
        <v>0.8</v>
      </c>
      <c r="D43" s="60">
        <v>1.9439165972589101</v>
      </c>
      <c r="E43" s="60">
        <v>1.9439165972589101</v>
      </c>
      <c r="F43" s="41">
        <f t="shared" si="0"/>
        <v>0</v>
      </c>
      <c r="G43" s="61">
        <v>-1.6365737878022313E-2</v>
      </c>
      <c r="H43" s="61">
        <v>-4.8434731868509884E-2</v>
      </c>
      <c r="I43" s="43">
        <f t="shared" si="1"/>
        <v>3.2068993990487571E-2</v>
      </c>
    </row>
    <row r="44" spans="1:9" x14ac:dyDescent="0.2">
      <c r="A44" s="4" t="s">
        <v>54</v>
      </c>
      <c r="B44" s="66">
        <f>+Inputs!$G$11</f>
        <v>5.0000000000000001E-3</v>
      </c>
      <c r="C44" s="66">
        <f>+Inputs!$H$11</f>
        <v>7.0000000000000001E-3</v>
      </c>
      <c r="D44" s="60">
        <v>1.9439165972589101</v>
      </c>
      <c r="E44" s="60">
        <v>1.9823342520267022</v>
      </c>
      <c r="F44" s="41">
        <f t="shared" si="0"/>
        <v>3.8417654767792131E-2</v>
      </c>
      <c r="G44" s="61">
        <v>-3.0084704428530951E-2</v>
      </c>
      <c r="H44" s="61">
        <v>-4.3032841514721309E-2</v>
      </c>
      <c r="I44" s="43">
        <f t="shared" si="1"/>
        <v>1.2948137086190359E-2</v>
      </c>
    </row>
    <row r="45" spans="1:9" x14ac:dyDescent="0.2">
      <c r="A45" s="4" t="s">
        <v>44</v>
      </c>
      <c r="B45" s="68">
        <f>+Inputs!$G$9</f>
        <v>1.2</v>
      </c>
      <c r="C45" s="68">
        <f>+Inputs!$H$9</f>
        <v>1.4</v>
      </c>
      <c r="D45" s="60">
        <v>2.1059096470304861</v>
      </c>
      <c r="E45" s="60">
        <v>1.8050654117404163</v>
      </c>
      <c r="F45" s="41">
        <f t="shared" si="0"/>
        <v>0.30084423529006976</v>
      </c>
      <c r="G45" s="61">
        <v>-5.5293920810231212E-2</v>
      </c>
      <c r="H45" s="61">
        <v>-6.1549109139072966E-3</v>
      </c>
      <c r="I45" s="43">
        <f t="shared" si="1"/>
        <v>4.9139009896323915E-2</v>
      </c>
    </row>
    <row r="46" spans="1:9" x14ac:dyDescent="0.2">
      <c r="A46" s="64" t="s">
        <v>32</v>
      </c>
      <c r="B46" s="63"/>
      <c r="C46" s="63"/>
      <c r="D46" s="63"/>
      <c r="E46" s="63"/>
      <c r="F46" s="63"/>
      <c r="G46" s="63"/>
      <c r="H46" s="63"/>
      <c r="I46" s="63"/>
    </row>
    <row r="47" spans="1:9" ht="28" x14ac:dyDescent="0.2">
      <c r="A47" s="62" t="s">
        <v>298</v>
      </c>
      <c r="B47" s="11" t="s">
        <v>299</v>
      </c>
      <c r="C47" s="11" t="s">
        <v>300</v>
      </c>
      <c r="D47" s="11" t="s">
        <v>324</v>
      </c>
      <c r="E47" s="11" t="s">
        <v>325</v>
      </c>
      <c r="F47" s="11" t="s">
        <v>329</v>
      </c>
      <c r="G47" s="11" t="s">
        <v>326</v>
      </c>
      <c r="H47" s="11" t="s">
        <v>327</v>
      </c>
      <c r="I47" s="11" t="s">
        <v>328</v>
      </c>
    </row>
    <row r="48" spans="1:9" x14ac:dyDescent="0.2">
      <c r="A48" s="4" t="s">
        <v>72</v>
      </c>
      <c r="B48" s="65">
        <f>+Inputs!$G$17</f>
        <v>450</v>
      </c>
      <c r="C48" s="65">
        <f>+Inputs!$H$17</f>
        <v>725</v>
      </c>
      <c r="D48" s="60">
        <v>1.8079315323711214</v>
      </c>
      <c r="E48" s="60">
        <v>2.6708980140066947</v>
      </c>
      <c r="F48" s="41">
        <f>+ABS(E48-D48)</f>
        <v>0.86296648163557332</v>
      </c>
      <c r="G48" s="61">
        <v>-2.0237359166824787E-4</v>
      </c>
      <c r="H48" s="61">
        <v>-0.14657789953144545</v>
      </c>
      <c r="I48" s="43">
        <f>+ABS(H48-G48)</f>
        <v>0.14637552593977721</v>
      </c>
    </row>
    <row r="49" spans="1:9" x14ac:dyDescent="0.2">
      <c r="A49" s="4" t="s">
        <v>301</v>
      </c>
      <c r="B49" s="66">
        <f>+Inputs!$G$34</f>
        <v>0.06</v>
      </c>
      <c r="C49" s="66">
        <f>+Inputs!$E$34+Inputs!$E$40/10000</f>
        <v>8.7999999999999995E-2</v>
      </c>
      <c r="D49" s="60">
        <v>1.8761722323491292</v>
      </c>
      <c r="E49" s="60">
        <v>2.3465600000000002</v>
      </c>
      <c r="F49" s="41">
        <f t="shared" ref="F49:F55" si="2">+ABS(E49-D49)</f>
        <v>0.47038776765087098</v>
      </c>
      <c r="G49" s="61">
        <v>-6.2835797002924687E-2</v>
      </c>
      <c r="H49" s="61">
        <v>-6.2835797002924687E-2</v>
      </c>
      <c r="I49" s="43">
        <f t="shared" ref="I49:I55" si="3">+ABS(H49-G49)</f>
        <v>0</v>
      </c>
    </row>
    <row r="50" spans="1:9" x14ac:dyDescent="0.2">
      <c r="A50" s="4" t="s">
        <v>302</v>
      </c>
      <c r="B50" s="45">
        <f>+Inputs!$E$10*0.9</f>
        <v>2016</v>
      </c>
      <c r="C50" s="45">
        <f>+Inputs!$E$10*1.1</f>
        <v>2464</v>
      </c>
      <c r="D50" s="60">
        <v>2.357486139659053</v>
      </c>
      <c r="E50" s="60">
        <v>1.9288522960846799</v>
      </c>
      <c r="F50" s="41">
        <f t="shared" si="2"/>
        <v>0.42863384357437306</v>
      </c>
      <c r="G50" s="61">
        <v>-0.11023763656981284</v>
      </c>
      <c r="H50" s="61">
        <v>-2.1684277023742482E-2</v>
      </c>
      <c r="I50" s="43">
        <f t="shared" si="3"/>
        <v>8.8553359546070354E-2</v>
      </c>
    </row>
    <row r="51" spans="1:9" x14ac:dyDescent="0.2">
      <c r="A51" s="4" t="s">
        <v>303</v>
      </c>
      <c r="B51" s="67">
        <f>+Inputs!$G$25</f>
        <v>0.05</v>
      </c>
      <c r="C51" s="67">
        <f>+Inputs!$H$25</f>
        <v>7.4999999999999997E-2</v>
      </c>
      <c r="D51" s="60">
        <v>2.1217375256931481</v>
      </c>
      <c r="E51" s="60">
        <v>2.1217375256931481</v>
      </c>
      <c r="F51" s="41">
        <f t="shared" si="2"/>
        <v>0</v>
      </c>
      <c r="G51" s="61">
        <v>-2.9669833550972025E-2</v>
      </c>
      <c r="H51" s="61">
        <v>-0.1060068784770351</v>
      </c>
      <c r="I51" s="43">
        <f t="shared" si="3"/>
        <v>7.633704492606308E-2</v>
      </c>
    </row>
    <row r="52" spans="1:9" x14ac:dyDescent="0.2">
      <c r="A52" s="4" t="s">
        <v>76</v>
      </c>
      <c r="B52" s="65">
        <f>+Inputs!$G$18</f>
        <v>9</v>
      </c>
      <c r="C52" s="65">
        <f>+Inputs!$H$18</f>
        <v>27</v>
      </c>
      <c r="D52" s="60">
        <v>2.0497730597982393</v>
      </c>
      <c r="E52" s="60">
        <v>2.6974532528524224</v>
      </c>
      <c r="F52" s="41">
        <f t="shared" si="2"/>
        <v>0.64768019305418312</v>
      </c>
      <c r="G52" s="61">
        <v>-4.0264106576312575E-2</v>
      </c>
      <c r="H52" s="61">
        <v>-0.34161920667643864</v>
      </c>
      <c r="I52" s="43">
        <f t="shared" si="3"/>
        <v>0.30135510010012606</v>
      </c>
    </row>
    <row r="53" spans="1:9" x14ac:dyDescent="0.2">
      <c r="A53" s="4" t="s">
        <v>304</v>
      </c>
      <c r="B53" s="45">
        <f>+Inputs!$G$23</f>
        <v>0.65</v>
      </c>
      <c r="C53" s="45">
        <f>+Inputs!$H$23</f>
        <v>0.8</v>
      </c>
      <c r="D53" s="60">
        <v>2.1217375256931481</v>
      </c>
      <c r="E53" s="60">
        <v>2.1217375256931481</v>
      </c>
      <c r="F53" s="41">
        <f t="shared" si="2"/>
        <v>0</v>
      </c>
      <c r="G53" s="61">
        <v>-4.0737774208945587E-2</v>
      </c>
      <c r="H53" s="61">
        <v>-9.2660237782564214E-2</v>
      </c>
      <c r="I53" s="43">
        <f t="shared" si="3"/>
        <v>5.1922463573618627E-2</v>
      </c>
    </row>
    <row r="54" spans="1:9" x14ac:dyDescent="0.2">
      <c r="A54" s="4" t="s">
        <v>54</v>
      </c>
      <c r="B54" s="66">
        <f>+Inputs!$G$11</f>
        <v>5.0000000000000001E-3</v>
      </c>
      <c r="C54" s="66">
        <f>+Inputs!$H$11</f>
        <v>7.0000000000000001E-3</v>
      </c>
      <c r="D54" s="60">
        <v>2.1217375256931481</v>
      </c>
      <c r="E54" s="60">
        <v>2.1609854086806437</v>
      </c>
      <c r="F54" s="41">
        <f t="shared" si="2"/>
        <v>3.9247882987495597E-2</v>
      </c>
      <c r="G54" s="61">
        <v>-6.2835797002924687E-2</v>
      </c>
      <c r="H54" s="61">
        <v>-8.0402630085445403E-2</v>
      </c>
      <c r="I54" s="43">
        <f t="shared" si="3"/>
        <v>1.7566833082520716E-2</v>
      </c>
    </row>
    <row r="55" spans="1:9" x14ac:dyDescent="0.2">
      <c r="A55" s="4" t="s">
        <v>44</v>
      </c>
      <c r="B55" s="68">
        <f>+Inputs!$G$9</f>
        <v>1.2</v>
      </c>
      <c r="C55" s="68">
        <f>+Inputs!$H$9</f>
        <v>1.4</v>
      </c>
      <c r="D55" s="60">
        <v>2.2985489861675759</v>
      </c>
      <c r="E55" s="60">
        <v>1.9701848452864943</v>
      </c>
      <c r="F55" s="41">
        <f t="shared" si="2"/>
        <v>0.32836414088108157</v>
      </c>
      <c r="G55" s="61">
        <v>-9.8721928323798835E-2</v>
      </c>
      <c r="H55" s="61">
        <v>-3.0661623797076099E-2</v>
      </c>
      <c r="I55" s="43">
        <f t="shared" si="3"/>
        <v>6.8060304526722737E-2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C15"/>
  <sheetViews>
    <sheetView showGridLines="0" zoomScale="80" zoomScaleNormal="80" workbookViewId="0"/>
  </sheetViews>
  <sheetFormatPr baseColWidth="10" defaultColWidth="8.83203125" defaultRowHeight="15" x14ac:dyDescent="0.2"/>
  <cols>
    <col min="1" max="1" width="46" customWidth="1"/>
    <col min="2" max="2" width="16" customWidth="1"/>
    <col min="3" max="3" width="50" customWidth="1"/>
  </cols>
  <sheetData>
    <row r="1" spans="1:3" ht="18" x14ac:dyDescent="0.2">
      <c r="A1" s="1" t="s">
        <v>305</v>
      </c>
    </row>
    <row r="2" spans="1:3" x14ac:dyDescent="0.2">
      <c r="A2" s="2" t="s">
        <v>332</v>
      </c>
    </row>
    <row r="4" spans="1:3" x14ac:dyDescent="0.2">
      <c r="A4" s="11" t="s">
        <v>306</v>
      </c>
      <c r="B4" s="11" t="s">
        <v>307</v>
      </c>
      <c r="C4" s="11" t="s">
        <v>334</v>
      </c>
    </row>
    <row r="5" spans="1:3" x14ac:dyDescent="0.2">
      <c r="A5" s="3" t="s">
        <v>308</v>
      </c>
      <c r="B5" s="69">
        <f>+SUM(B6:B15)</f>
        <v>0</v>
      </c>
      <c r="C5" s="2" t="s">
        <v>309</v>
      </c>
    </row>
    <row r="6" spans="1:3" x14ac:dyDescent="0.2">
      <c r="A6" s="4" t="s">
        <v>310</v>
      </c>
      <c r="B6" s="69">
        <f>+IF(ABS(Inputs!F14+Inputs!F15-1)&gt;0.0001,1,0)</f>
        <v>0</v>
      </c>
      <c r="C6" s="2" t="s">
        <v>311</v>
      </c>
    </row>
    <row r="7" spans="1:3" x14ac:dyDescent="0.2">
      <c r="A7" s="4" t="s">
        <v>312</v>
      </c>
      <c r="B7" s="69">
        <f>+IF(ABS(SUM(Debt!E6:AW6)-Debt!C6)&gt;1,1,0)</f>
        <v>0</v>
      </c>
      <c r="C7" s="2"/>
    </row>
    <row r="8" spans="1:3" x14ac:dyDescent="0.2">
      <c r="A8" s="4" t="s">
        <v>313</v>
      </c>
      <c r="B8" s="69" cm="1">
        <f t="array" ref="B8">+IF(ABS(INDEX(Debt!E16:AW16, Inputs!F13+Inputs!F24))&gt;1,1,0)</f>
        <v>0</v>
      </c>
      <c r="C8" s="2" t="s">
        <v>314</v>
      </c>
    </row>
    <row r="9" spans="1:3" x14ac:dyDescent="0.2">
      <c r="A9" s="4" t="s">
        <v>315</v>
      </c>
      <c r="B9" s="69">
        <f>+IF(ABS(SUM(Debt!E15:AW15)-Outputs!C19)&gt;1,1,0)</f>
        <v>0</v>
      </c>
      <c r="C9" s="2"/>
    </row>
    <row r="10" spans="1:3" x14ac:dyDescent="0.2">
      <c r="A10" s="4" t="s">
        <v>316</v>
      </c>
      <c r="B10" s="69">
        <f>+IF(ABS(Operations!G7-Operations!C6*Inputs!F10)&gt;1,1,0)</f>
        <v>0</v>
      </c>
      <c r="C10" s="2"/>
    </row>
    <row r="11" spans="1:3" x14ac:dyDescent="0.2">
      <c r="A11" s="4" t="s">
        <v>317</v>
      </c>
      <c r="B11" s="69" cm="1">
        <f t="array" ref="B11">+IF(SUMPRODUCT(ABS(Operations!E10:AW10),1-Timeline!E8:AW8)&gt;0,1,0)</f>
        <v>0</v>
      </c>
      <c r="C11" s="2"/>
    </row>
    <row r="12" spans="1:3" x14ac:dyDescent="0.2">
      <c r="A12" s="4" t="s">
        <v>318</v>
      </c>
      <c r="B12" s="69" cm="1">
        <f t="array" ref="B12">+IF(SUMPRODUCT(--ISNUMBER(CashFlow!E8:AW8),1-Timeline!E10:AW10)&gt;0,1,0)</f>
        <v>0</v>
      </c>
      <c r="C12" s="2"/>
    </row>
    <row r="13" spans="1:3" x14ac:dyDescent="0.2">
      <c r="A13" s="4" t="s">
        <v>319</v>
      </c>
      <c r="B13" s="69">
        <f>+IF(ABS(NPV(Outputs!C12,CashFlow!F10:AW10)+CashFlow!E10)&gt;1,1,0)</f>
        <v>0</v>
      </c>
      <c r="C13" s="2" t="s">
        <v>320</v>
      </c>
    </row>
    <row r="14" spans="1:3" x14ac:dyDescent="0.2">
      <c r="A14" s="4" t="s">
        <v>361</v>
      </c>
      <c r="B14" s="69" cm="1">
        <f t="array" ref="B14">+IF(SUMPRODUCT(ABS(Tax!E10:AW10)*ABS(Tax!E11:AW11))&gt;0,1,0)</f>
        <v>0</v>
      </c>
      <c r="C14" s="2"/>
    </row>
    <row r="15" spans="1:3" x14ac:dyDescent="0.2">
      <c r="A15" t="s">
        <v>360</v>
      </c>
      <c r="B15" s="69">
        <f>+IF(Inputs!F13&lt;&gt;2,1,0)</f>
        <v>0</v>
      </c>
      <c r="C15" s="2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README</vt:lpstr>
      <vt:lpstr>Inputs</vt:lpstr>
      <vt:lpstr>Timeline</vt:lpstr>
      <vt:lpstr>Operations</vt:lpstr>
      <vt:lpstr>Debt</vt:lpstr>
      <vt:lpstr>Tax</vt:lpstr>
      <vt:lpstr>CashFlow</vt:lpstr>
      <vt:lpstr>Outputs</vt:lpstr>
      <vt:lpstr>Checks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Sarah Adam</cp:lastModifiedBy>
  <dcterms:created xsi:type="dcterms:W3CDTF">2026-10-06T13:04:54Z</dcterms:created>
  <dcterms:modified xsi:type="dcterms:W3CDTF">2026-10-20T08:49:36Z</dcterms:modified>
</cp:coreProperties>
</file>